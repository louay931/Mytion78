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ThisWorkbook"/>
  <xr:revisionPtr revIDLastSave="0" documentId="13_ncr:1_{F8E4BB15-94E5-48D4-A278-3C4EF662C07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aisie" sheetId="1" r:id="rId1"/>
    <sheet name="Fiches clients" sheetId="2" r:id="rId2"/>
    <sheet name="Demande EGYDE" sheetId="3" r:id="rId3"/>
    <sheet name="Demande remplissage" sheetId="5" r:id="rId4"/>
    <sheet name="Lisez-moi" sheetId="4" r:id="rId5"/>
  </sheets>
  <definedNames>
    <definedName name="_xlnm.Print_Area" localSheetId="3">'Demande remplissage'!$A$2:$E$27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2" i="2"/>
  <c r="BR2" i="2" l="1"/>
  <c r="BQ2" i="2"/>
  <c r="BP2" i="2"/>
  <c r="O2" i="2"/>
  <c r="N2" i="2"/>
  <c r="BO2" i="2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BN2" i="2"/>
  <c r="BM2" i="2"/>
  <c r="BK2" i="2"/>
  <c r="BJ2" i="2"/>
  <c r="BI2" i="2"/>
  <c r="BH2" i="2"/>
  <c r="BG2" i="2"/>
  <c r="BF2" i="2"/>
  <c r="BE2" i="2"/>
  <c r="BD2" i="2"/>
  <c r="BC2" i="2"/>
  <c r="BB2" i="2"/>
  <c r="AY2" i="2"/>
  <c r="AX2" i="2"/>
  <c r="AW2" i="2"/>
  <c r="BA2" i="2" s="1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B44" i="3"/>
  <c r="B43" i="3"/>
  <c r="B42" i="3"/>
  <c r="B41" i="3"/>
  <c r="B40" i="3"/>
  <c r="B39" i="3"/>
  <c r="B38" i="3"/>
  <c r="B37" i="3"/>
  <c r="B36" i="3"/>
  <c r="B34" i="3"/>
  <c r="B33" i="3"/>
  <c r="B32" i="3"/>
  <c r="B31" i="3"/>
  <c r="B30" i="3"/>
  <c r="B29" i="3"/>
  <c r="B28" i="3"/>
  <c r="B27" i="3"/>
  <c r="B26" i="3"/>
  <c r="B24" i="3"/>
  <c r="B23" i="3"/>
  <c r="B22" i="3"/>
  <c r="B21" i="3"/>
  <c r="B20" i="3"/>
  <c r="B19" i="3"/>
  <c r="B18" i="3"/>
  <c r="B17" i="3"/>
  <c r="B16" i="3"/>
  <c r="B13" i="3"/>
  <c r="G12" i="3"/>
  <c r="B12" i="3"/>
  <c r="G11" i="3"/>
  <c r="B11" i="3"/>
  <c r="G10" i="3"/>
  <c r="B10" i="3"/>
  <c r="G9" i="3"/>
  <c r="B9" i="3"/>
  <c r="B8" i="3"/>
  <c r="B6" i="3"/>
  <c r="B5" i="3"/>
  <c r="G3" i="3"/>
  <c r="B3" i="3"/>
  <c r="G2" i="3"/>
  <c r="B2" i="3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M2" i="2"/>
  <c r="L2" i="2"/>
  <c r="K2" i="2"/>
  <c r="J2" i="2"/>
  <c r="I2" i="2"/>
  <c r="H2" i="2"/>
  <c r="G2" i="2"/>
  <c r="F2" i="2"/>
  <c r="E2" i="2"/>
  <c r="D2" i="2"/>
  <c r="C2" i="2"/>
  <c r="B2" i="2"/>
  <c r="A2" i="2"/>
  <c r="BL2" i="2" l="1"/>
  <c r="AZ2" i="2"/>
</calcChain>
</file>

<file path=xl/sharedStrings.xml><?xml version="1.0" encoding="utf-8"?>
<sst xmlns="http://schemas.openxmlformats.org/spreadsheetml/2006/main" count="363" uniqueCount="279">
  <si>
    <t>FICHE CHANTIER – remplis uniquement la colonne B (cases jaunes)</t>
  </si>
  <si>
    <t>Champ</t>
  </si>
  <si>
    <t>Valeur</t>
  </si>
  <si>
    <t>Aide</t>
  </si>
  <si>
    <t>INFOS CLIENT</t>
  </si>
  <si>
    <t>Client</t>
  </si>
  <si>
    <t>Adresse</t>
  </si>
  <si>
    <t>Code postal</t>
  </si>
  <si>
    <t>Ville</t>
  </si>
  <si>
    <t>Contact client</t>
  </si>
  <si>
    <t>Téléphone</t>
  </si>
  <si>
    <t>Mail</t>
  </si>
  <si>
    <t>N° ordre</t>
  </si>
  <si>
    <t>Chargé d’affaires</t>
  </si>
  <si>
    <t>SOURCES / CADRES</t>
  </si>
  <si>
    <t>Source 1</t>
  </si>
  <si>
    <t>Source 2</t>
  </si>
  <si>
    <t>Source 3</t>
  </si>
  <si>
    <t>TYPOLOGIE – INSTALLATION FINALE  (certificat tests alarmes + réception pharmaceutique)</t>
  </si>
  <si>
    <t>LIQ-LIQ-LIQ</t>
  </si>
  <si>
    <t>X = coché, vide = non coché</t>
  </si>
  <si>
    <t>LIQ-LIQ-GAZ</t>
  </si>
  <si>
    <t>LIQ-GAZ-GAZ</t>
  </si>
  <si>
    <t>GAZ-GAZ-GAZ</t>
  </si>
  <si>
    <t>MESS’AIR</t>
  </si>
  <si>
    <t>MESS-VAC</t>
  </si>
  <si>
    <t>Autre</t>
  </si>
  <si>
    <t>Fluide</t>
  </si>
  <si>
    <t>Oxygène médicinal</t>
  </si>
  <si>
    <t>Choisir dans la liste (vide = case non cochée)</t>
  </si>
  <si>
    <t>TYPOLOGIE – INSTALLATION PROVISOIRE  (certificat réception PROVISOIRE uniquement)</t>
  </si>
  <si>
    <t>DEMANDE EGYDE – SITE  (onglet Demande EGYDE ; client, adresse, CP et ville = INFOS CLIENT)</t>
  </si>
  <si>
    <t>Date de la demande</t>
  </si>
  <si>
    <t>Format jj/mm/aaaa</t>
  </si>
  <si>
    <t>Date de M.E.S. souhaitée</t>
  </si>
  <si>
    <t>3 jours ouvrés minimum si type existant</t>
  </si>
  <si>
    <t>Nom du site (création)</t>
  </si>
  <si>
    <t>Ex : CH DE PITHIVIERS / PITHIVIERS (45)</t>
  </si>
  <si>
    <t>Type de site</t>
  </si>
  <si>
    <t>Ex : LGG</t>
  </si>
  <si>
    <t>N° de téléphone du site</t>
  </si>
  <si>
    <t>N° identification</t>
  </si>
  <si>
    <t>N° esclave</t>
  </si>
  <si>
    <t>N° astreinte</t>
  </si>
  <si>
    <t>Source principale</t>
  </si>
  <si>
    <t>Ex : 3000L</t>
  </si>
  <si>
    <t>Source attente</t>
  </si>
  <si>
    <t>Ex : 2XCV18</t>
  </si>
  <si>
    <t>Source secours</t>
  </si>
  <si>
    <t>Ex : 3B50</t>
  </si>
  <si>
    <t>Commercial responsable</t>
  </si>
  <si>
    <t>DEMANDE EGYDE – CONTACT CLIENT 1  (laisser vide si pas de contact 1)</t>
  </si>
  <si>
    <t>Nom</t>
  </si>
  <si>
    <t>Prénom</t>
  </si>
  <si>
    <t>Adresse mail</t>
  </si>
  <si>
    <t>N° de téléphone</t>
  </si>
  <si>
    <t>Service</t>
  </si>
  <si>
    <t>Identifiant</t>
  </si>
  <si>
    <t>Mot de passe</t>
  </si>
  <si>
    <t>Type d’accès client</t>
  </si>
  <si>
    <t>Ex : etendu</t>
  </si>
  <si>
    <t>Ajout alarme</t>
  </si>
  <si>
    <t>oui / non</t>
  </si>
  <si>
    <t>DEMANDE EGYDE – CONTACT CLIENT 2  (laisser vide si pas de contact 2)</t>
  </si>
  <si>
    <t>DEMANDE EGYDE – CONTACT CLIENT 3  (laisser vide si pas de contact 3)</t>
  </si>
  <si>
    <t>CodePostal</t>
  </si>
  <si>
    <t>CodePostalVille</t>
  </si>
  <si>
    <t>Contact</t>
  </si>
  <si>
    <t>Telephone</t>
  </si>
  <si>
    <t>Email</t>
  </si>
  <si>
    <t>NumOrdre</t>
  </si>
  <si>
    <t>ChargeAffaires</t>
  </si>
  <si>
    <t>Source1</t>
  </si>
  <si>
    <t>Source2</t>
  </si>
  <si>
    <t>Source3</t>
  </si>
  <si>
    <t>SourceRampeGauche</t>
  </si>
  <si>
    <t>SourceRampeSecours</t>
  </si>
  <si>
    <t>T_LIQLIQLIQ</t>
  </si>
  <si>
    <t>T_LIQLIQGAZ</t>
  </si>
  <si>
    <t>T_LIQGAZGAZ</t>
  </si>
  <si>
    <t>T_GAZGAZGAZ</t>
  </si>
  <si>
    <t>T_MESSAIR</t>
  </si>
  <si>
    <t>T_MESSVAC</t>
  </si>
  <si>
    <t>T_AUTRE</t>
  </si>
  <si>
    <t>T_Fluide</t>
  </si>
  <si>
    <t>T_FLUIDEX</t>
  </si>
  <si>
    <t>P_LIQLIQLIQ</t>
  </si>
  <si>
    <t>P_LIQLIQGAZ</t>
  </si>
  <si>
    <t>P_LIQGAZGAZ</t>
  </si>
  <si>
    <t>P_GAZGAZGAZ</t>
  </si>
  <si>
    <t>P_MESSAIR</t>
  </si>
  <si>
    <t>P_MESSVAC</t>
  </si>
  <si>
    <t>P_AUTRE</t>
  </si>
  <si>
    <t>P_Fluide</t>
  </si>
  <si>
    <t>P_FLUIDEX</t>
  </si>
  <si>
    <t>Nom du Site client :</t>
  </si>
  <si>
    <t>Date de la demande :</t>
  </si>
  <si>
    <t>Date de M.E.S. souhaitée :</t>
  </si>
  <si>
    <t>(3 jours ouvrés minimum si type existant)</t>
  </si>
  <si>
    <t>cp</t>
  </si>
  <si>
    <t>ville</t>
  </si>
  <si>
    <t>Création (à remplir seulement pour la demande d'intégation d'un nouveau Site)</t>
  </si>
  <si>
    <t>Nom du Site :</t>
  </si>
  <si>
    <t>Type de Site :</t>
  </si>
  <si>
    <t xml:space="preserve">SOURCE PRINCIPALE </t>
  </si>
  <si>
    <t>N° De Téléphone :</t>
  </si>
  <si>
    <t>SOURCE ATTENTE</t>
  </si>
  <si>
    <t>N° Identification :</t>
  </si>
  <si>
    <t>SOURCE SECOURS</t>
  </si>
  <si>
    <t xml:space="preserve">N° Esclave : </t>
  </si>
  <si>
    <t>N° ASTREINTE</t>
  </si>
  <si>
    <t>Contact Client (à remplir à la création ou pour ajout nouvel utilisateur)</t>
  </si>
  <si>
    <t>Nom :</t>
  </si>
  <si>
    <t>Prénom :</t>
  </si>
  <si>
    <t>Adresse Mail :</t>
  </si>
  <si>
    <t xml:space="preserve">Service : </t>
  </si>
  <si>
    <t>Identifiant :</t>
  </si>
  <si>
    <t>Mot de Passe :</t>
  </si>
  <si>
    <t>Type d'accès Client :</t>
  </si>
  <si>
    <t>ajout alarme</t>
  </si>
  <si>
    <t>Comment utiliser ce fichier</t>
  </si>
  <si>
    <t>1. Onglet « Saisie » : c’est le SEUL onglet à remplir. Une ligne = un champ, tu tapes la valeur dans la colonne B (cases jaunes).</t>
  </si>
  <si>
    <t>2. Typologie : mets X (liste déroulante) en face de la ou des cases à cocher, laisse vide sinon. Choisis le fluide dans la liste.</t>
  </si>
  <si>
    <t>3. La section « PROVISOIRE » est indépendante : elle ne sert qu’au certificat de réception PROVISOIRE.</t>
  </si>
  <si>
    <t xml:space="preserve">   La section « INSTALLATION FINALE » sert au certificat tests alarmes et au certificat de réception pharmaceutique.</t>
  </si>
  <si>
    <t>4. Onglet « Fiches clients » : technique, se calcule tout seul. NE PAS MODIFIER. C’est lui que Word lit.</t>
  </si>
  <si>
    <t>5. Enregistre et ferme Excel avant de lancer la fusion dans Word.</t>
  </si>
  <si>
    <t>6. Demande EGYDE : remplis la section « DEMANDE EGYDE » en bas de Saisie, l’onglet « Demande EGYDE » se remplit tout seul (nom du site client, adresse, CP et ville repris des INFOS CLIENT). Bouton « Exporter EGYDE » : crée un fichier séparé à envoyer.</t>
  </si>
  <si>
    <t>Dans Word (à faire une fois par modèle)</t>
  </si>
  <si>
    <t>Publipostage &gt; Sélection des destinataires &gt; Utiliser une liste existante &gt; ce fichier &gt; onglet « Fiches clients$ ».</t>
  </si>
  <si>
    <t>Puis « Aperçu des résultats » pour vérifier, et « Terminer et fusionner » &gt; « Modifier des documents individuels » &gt; « Tous ».</t>
  </si>
  <si>
    <t>Nouveau chantier : écrase les valeurs de la colonne B de « Saisie », enregistre, puis refais la fusion.</t>
  </si>
  <si>
    <t>Étapes 1 à 3 : dans Word, onglet Publipostage</t>
  </si>
  <si>
    <t>Étapes 6 à 8 : Aperçu des résultats pour vérifier, puis Terminer &amp; fusionner &gt; Modifier des documents individuels &gt; Tous &gt; OK</t>
  </si>
  <si>
    <t>Demande EGYDE : créer le fichier à envoyer</t>
  </si>
  <si>
    <t>Étape 1 : remplir la section DEMANDE EGYDE dans Saisie</t>
  </si>
  <si>
    <t>Étape 2 : onglet Demande EGYDE, vérifier puis cliquer sur Exporter EGYDE</t>
  </si>
  <si>
    <t>Étapes 3 et 4 : choisir le dossier puis Enregistrer</t>
  </si>
  <si>
    <t>Étape 5 : le fichier est créé et ouvert</t>
  </si>
  <si>
    <t>Étapes 4 et 5 : choisir Fiches_clients_+_EGYDE.xlsm, puis la ligne 'Fiches clients$' et OK</t>
  </si>
  <si>
    <t>Bandeau rouge « Risque de sécurité » : débloquer le fichier (une seule fois)</t>
  </si>
  <si>
    <t>À l'ouverture : cliquer sur « Activer le contenu » (bandeau jaune). Si c'est un bandeau ROUGE « Risque de sécurité » : fermer Excel, clic droit sur le fichier &gt; Propriétés &gt; cocher « Débloquer » &gt; OK, puis rouvrir (voir captures tout en bas). Le fichier créé est en valeurs seules, sans lien : c'est lui qu'on joint au mail.</t>
  </si>
  <si>
    <t>N° analyseur O²</t>
  </si>
  <si>
    <t>929824</t>
  </si>
  <si>
    <t>Certificats de réception pharma (finale + provisoire)</t>
  </si>
  <si>
    <t>NumAnalyseur</t>
  </si>
  <si>
    <t>Boutons « Générer » : remplir la Saisie, puis cliquer sur un bouton</t>
  </si>
  <si>
    <t>Tél. standard</t>
  </si>
  <si>
    <t>Services techniques : nom</t>
  </si>
  <si>
    <t>Ex : Mr DUPONT Paul (Resp SCE technique)</t>
  </si>
  <si>
    <t>Services techniques : téléphone</t>
  </si>
  <si>
    <t>Services techniques : mail</t>
  </si>
  <si>
    <t>Détente Cahouet : n°</t>
  </si>
  <si>
    <t>Le type (GGG, LLG…) est repris de la typologie</t>
  </si>
  <si>
    <t>Détente Cahouet : n° de série</t>
  </si>
  <si>
    <t>Affiché entre parenthèses</t>
  </si>
  <si>
    <t>Boîtier d'alarme HORUS : n°</t>
  </si>
  <si>
    <t>Télésurveillance eWON Flexy202 : n°</t>
  </si>
  <si>
    <t>N° SIM</t>
  </si>
  <si>
    <t>Vide = N° de téléphone du site (section EGYDE)</t>
  </si>
  <si>
    <t>Supervision Egyde Med : n°</t>
  </si>
  <si>
    <t>Livraison (site et jour)</t>
  </si>
  <si>
    <t>Consommation annuelle (m3/an)</t>
  </si>
  <si>
    <t>Nombre seul, ex : 4800. Le m3/jour est calculé tout seul (÷ 365)</t>
  </si>
  <si>
    <t>Durée du contrat (ans)</t>
  </si>
  <si>
    <t>Nombre seul, ex : 4</t>
  </si>
  <si>
    <t>Début du contrat</t>
  </si>
  <si>
    <t>Date jj/mm/aaaa</t>
  </si>
  <si>
    <t>TypeInstallation</t>
  </si>
  <si>
    <t>G_Standard</t>
  </si>
  <si>
    <t>G_TechNom</t>
  </si>
  <si>
    <t>G_TechTel</t>
  </si>
  <si>
    <t>G_TechMail</t>
  </si>
  <si>
    <t>G_DetenteRef</t>
  </si>
  <si>
    <t>G_DetenteNS</t>
  </si>
  <si>
    <t>G_Horus</t>
  </si>
  <si>
    <t>G_Ewon</t>
  </si>
  <si>
    <t>G_Sim</t>
  </si>
  <si>
    <t>G_EgydeMed</t>
  </si>
  <si>
    <t>G_Livraison</t>
  </si>
  <si>
    <t>G_ConsoAn</t>
  </si>
  <si>
    <t>G_ConsoJour</t>
  </si>
  <si>
    <t>G_ContratDuree</t>
  </si>
  <si>
    <t>G_ContratDebut</t>
  </si>
  <si>
    <t>G_Sources</t>
  </si>
  <si>
    <t>G_LigneInstallation</t>
  </si>
  <si>
    <t>G_LigneContrat</t>
  </si>
  <si>
    <t>AUTOCONTRÔLES  (MESS'AIR / MESS'VAC ; GGG, LGG, LLG et LIQ utilisent les sources ci-dessus)</t>
  </si>
  <si>
    <t>Compresseur n° 1 : modèle (MESS'AIR)</t>
  </si>
  <si>
    <t>Compresseur n° 2 : modèle (MESS'AIR)</t>
  </si>
  <si>
    <t>Compresseur n° 3 : modèle (MESS'AIR)</t>
  </si>
  <si>
    <t>Pompe à vide n° 1 : capacité (MESS-VAC)</t>
  </si>
  <si>
    <t>Pompe à vide n° 2 : capacité (MESS-VAC)</t>
  </si>
  <si>
    <t>Pompe à vide n° 3 : capacité (MESS-VAC)</t>
  </si>
  <si>
    <t>N° platine secours (MESS'AIR)</t>
  </si>
  <si>
    <t>N° de série Mil's (MESS'AIR / MESS-VAC)</t>
  </si>
  <si>
    <t>AUTORISATION DE MISE À L'ARRÊT ET DÉMONTAGE</t>
  </si>
  <si>
    <t>Date de l'intervention</t>
  </si>
  <si>
    <t>L'établissement représenté par</t>
  </si>
  <si>
    <t>Nom et fonction</t>
  </si>
  <si>
    <t>Installation démontée (composition)</t>
  </si>
  <si>
    <t>Vide = type + sources (ex : GGG 1XCV18 + 1XCV18 + 1XCV8)</t>
  </si>
  <si>
    <t>Arrêt à compter du</t>
  </si>
  <si>
    <t>Heure de l'arrêt</t>
  </si>
  <si>
    <t>Ex : 14 heures</t>
  </si>
  <si>
    <t>DEMANDE DE REMPLISSAGE  (onglet Demande remplissage ; client, adresse, ordre = INFOS CLIENT)</t>
  </si>
  <si>
    <t>Gaz</t>
  </si>
  <si>
    <t>Ex : LOX Med</t>
  </si>
  <si>
    <t>Modèle de réservoir</t>
  </si>
  <si>
    <t>Ex : VT3/18</t>
  </si>
  <si>
    <t>N° de série du réservoir</t>
  </si>
  <si>
    <t>Contenance (L/tonne)</t>
  </si>
  <si>
    <t>Ex : 3000 l</t>
  </si>
  <si>
    <t>Pression de service du réservoir (bar)</t>
  </si>
  <si>
    <t>Ex : 10 bar (repris aussi dans l’autocontrôle LIQ)</t>
  </si>
  <si>
    <t>Utilisation gaz ou liquide</t>
  </si>
  <si>
    <t>Gazeux / Liquide</t>
  </si>
  <si>
    <t>Volume annuel</t>
  </si>
  <si>
    <t>Vide = consommation annuelle (page de garde) en m3/an</t>
  </si>
  <si>
    <t>Prise maréchal</t>
  </si>
  <si>
    <t>Ex : OUI</t>
  </si>
  <si>
    <t>Date de la mise en service</t>
  </si>
  <si>
    <t>Vide = date de M.E.S. de la demande EGYDE</t>
  </si>
  <si>
    <t>Heure de la mise en service</t>
  </si>
  <si>
    <t>Ex : 08h00</t>
  </si>
  <si>
    <t>Besoin en liquide (L/tonne)</t>
  </si>
  <si>
    <t>Ex : mise en froid + 1500 l</t>
  </si>
  <si>
    <t>Contact client pour le chauffeur</t>
  </si>
  <si>
    <t>Vide = Contact client</t>
  </si>
  <si>
    <t>Téléphone du contact</t>
  </si>
  <si>
    <t>Vide = Téléphone</t>
  </si>
  <si>
    <t>Code client</t>
  </si>
  <si>
    <t>Remarques</t>
  </si>
  <si>
    <t>LOX Med</t>
  </si>
  <si>
    <t>G_Compresseur1</t>
  </si>
  <si>
    <t>G_Compresseur2</t>
  </si>
  <si>
    <t>G_Compresseur3</t>
  </si>
  <si>
    <t>G_Pompe1</t>
  </si>
  <si>
    <t>G_Pompe2</t>
  </si>
  <si>
    <t>G_Pompe3</t>
  </si>
  <si>
    <t>G_PlatineSecours</t>
  </si>
  <si>
    <t>G_SerieMils</t>
  </si>
  <si>
    <t>G_ArretDateIntervention</t>
  </si>
  <si>
    <t>G_ArretRepresentant</t>
  </si>
  <si>
    <t>G_ArretInstallation</t>
  </si>
  <si>
    <t>G_ArretDate</t>
  </si>
  <si>
    <t>G_ArretHeure</t>
  </si>
  <si>
    <t>FR.50.05.Form.004</t>
  </si>
  <si>
    <t>Demande de remplissage</t>
  </si>
  <si>
    <t>Version 1 (décembre 2018)</t>
  </si>
  <si>
    <t>Tous sites France</t>
  </si>
  <si>
    <t>Emetteur</t>
  </si>
  <si>
    <t>N° d’ordre</t>
  </si>
  <si>
    <t>Modèle de réservoir </t>
  </si>
  <si>
    <t>N° de série</t>
  </si>
  <si>
    <t>Volume annuel (L/tonne)</t>
  </si>
  <si>
    <t>Commune</t>
  </si>
  <si>
    <t>Nom du Contact client pour le chauffeur</t>
  </si>
  <si>
    <t>8. Demande de remplissage : remplis la section « DEMANDE DE REMPLISSAGE » en bas de Saisie, l'onglet « Demande remplissage » se remplit tout seul. Bouton « EXPORTER REMPLISSAGE » : crée un fichier séparé à envoyer.</t>
  </si>
  <si>
    <t>SourceRampeDroite</t>
  </si>
  <si>
    <t>GÉNÉRER LES CERTIFICATS  (Word)</t>
  </si>
  <si>
    <t>7. Boutons « Générer » (onglet Saisie, à droite) : « Dossier de mise en service » = les 4 certificats dans un seul Word ; « Page de garde chantier » = la page de garde (n° d'ordre en gros, consommation et contrat calculés) ; les autres boutons = un document chacun ; « Autocontrôle » choisit tout seul le bon formulaire (GGG, LGG, MESS'AIR, MESS-VAC) selon la typologie cochée. Une fenêtre « Enregistrer sous » propose le nom : choisir le dossier puis Enregistrer. Les modèles Word doivent rester dans le dossier « Modèles Word » à côté de cet Excel.</t>
  </si>
  <si>
    <t>CodePostalVille (autocontrôle GGG) se fait tout seul</t>
  </si>
  <si>
    <t>Vide = Source 1. Écrire SO si cette rampe n'existe pas</t>
  </si>
  <si>
    <t>Vide = Source 2. Écrire SO si cette rampe n'existe pas</t>
  </si>
  <si>
    <t>Vide = Source 3. Écrire SO si cette rampe n'existe pas</t>
  </si>
  <si>
    <t>Rampe droite (autocontrôle GGG)</t>
  </si>
  <si>
    <t>Rampe gauche (autocontrôle GGG)</t>
  </si>
  <si>
    <t>Rampe secours (autocontrôle GGG)</t>
  </si>
  <si>
    <t>Responsable du chantier côté hôpital (directeur, adjoint…), pas forcément le pharmacien</t>
  </si>
  <si>
    <t>Pharmacien : nom</t>
  </si>
  <si>
    <t>Pharmacien : téléphone</t>
  </si>
  <si>
    <t>Pharmacien : mail</t>
  </si>
  <si>
    <t>PAGE DE GARDE / FICHE CHANTIER  (client, adresse, ordre, sources = INFOS CLIENT)</t>
  </si>
  <si>
    <t>G_PharmaNom</t>
  </si>
  <si>
    <t>G_PharmaTel</t>
  </si>
  <si>
    <t>G_PharmaMail</t>
  </si>
  <si>
    <t>Pharmacien de l'hôpital. Le contact client (lignes du haut) apparaît aussi sur la page de garde</t>
  </si>
  <si>
    <t>R_Pression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</si>
</sst>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i/>
      <sz val="11"/>
      <color rgb="FF808080"/>
      <name val="Calibri"/>
    </font>
    <font>
      <b/>
      <sz val="11"/>
      <name val="Calibri"/>
    </font>
    <font>
      <sz val="11"/>
      <color rgb="FF000000"/>
      <name val="Calibri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80808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0"/>
      <color theme="1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  <font>
      <b/>
      <sz val="10"/>
      <color rgb="FF0019A8"/>
      <name val="Arial"/>
      <family val="2"/>
    </font>
    <font>
      <b/>
      <sz val="15"/>
      <color rgb="FF0019A8"/>
      <name val="Arial"/>
      <family val="2"/>
    </font>
    <font>
      <b/>
      <sz val="11"/>
      <color rgb="FFFFFFFF"/>
      <name val="Calibri"/>
      <family val="2"/>
    </font>
    <font>
      <b/>
      <sz val="11"/>
      <color rgb="FF0019A8"/>
      <name val="Calibri"/>
      <family val="2"/>
    </font>
    <font>
      <b/>
      <sz val="11"/>
      <color rgb="FF0019A8"/>
      <name val="Calibri"/>
      <family val="2"/>
      <scheme val="minor"/>
    </font>
    <font>
      <b/>
      <sz val="12"/>
      <color rgb="FF0019A8"/>
      <name val="Calibri"/>
      <family val="2"/>
    </font>
    <font>
      <b/>
      <sz val="12"/>
      <color rgb="FF0019A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9E0"/>
      </patternFill>
    </fill>
    <fill>
      <patternFill patternType="solid">
        <fgColor rgb="FFFFFF00"/>
        <bgColor indexed="64"/>
      </patternFill>
    </fill>
    <fill>
      <patternFill patternType="solid">
        <fgColor rgb="FF1900A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35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0019A8"/>
        <bgColor indexed="64"/>
      </patternFill>
    </fill>
    <fill>
      <patternFill patternType="solid">
        <fgColor rgb="FFE6E9F8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2060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 style="thick">
        <color rgb="FF000066"/>
      </right>
      <top style="thick">
        <color rgb="FF000066"/>
      </top>
      <bottom/>
      <diagonal/>
    </border>
    <border>
      <left style="thick">
        <color rgb="FF000066"/>
      </left>
      <right style="thick">
        <color rgb="FF000066"/>
      </right>
      <top style="thick">
        <color rgb="FF000066"/>
      </top>
      <bottom/>
      <diagonal/>
    </border>
    <border>
      <left style="thick">
        <color rgb="FF000066"/>
      </left>
      <right style="thick">
        <color rgb="FF000066"/>
      </right>
      <top style="thick">
        <color rgb="FF002060"/>
      </top>
      <bottom style="thick">
        <color rgb="FF000066"/>
      </bottom>
      <diagonal/>
    </border>
    <border>
      <left/>
      <right style="thick">
        <color rgb="FF000066"/>
      </right>
      <top/>
      <bottom/>
      <diagonal/>
    </border>
    <border>
      <left style="thick">
        <color rgb="FF000066"/>
      </left>
      <right style="thick">
        <color rgb="FF000066"/>
      </right>
      <top/>
      <bottom/>
      <diagonal/>
    </border>
    <border>
      <left style="thick">
        <color rgb="FF000066"/>
      </left>
      <right style="thick">
        <color rgb="FF000066"/>
      </right>
      <top/>
      <bottom style="thick">
        <color rgb="FF000066"/>
      </bottom>
      <diagonal/>
    </border>
    <border>
      <left/>
      <right style="thick">
        <color rgb="FF000066"/>
      </right>
      <top/>
      <bottom style="thick">
        <color rgb="FF0000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rgb="FF000066"/>
      </top>
      <bottom style="thin">
        <color theme="4" tint="0.39997558519241921"/>
      </bottom>
      <diagonal/>
    </border>
    <border>
      <left/>
      <right style="thin">
        <color indexed="64"/>
      </right>
      <top style="thick">
        <color rgb="FF000066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19A8"/>
      </bottom>
      <diagonal/>
    </border>
    <border>
      <left style="thick">
        <color rgb="FFE3302B"/>
      </left>
      <right/>
      <top/>
      <bottom/>
      <diagonal/>
    </border>
    <border>
      <left style="thin">
        <color rgb="FFC3C9EC"/>
      </left>
      <right style="thin">
        <color rgb="FFC3C9EC"/>
      </right>
      <top style="thin">
        <color rgb="FFC3C9EC"/>
      </top>
      <bottom style="thin">
        <color rgb="FFC3C9EC"/>
      </bottom>
      <diagonal/>
    </border>
    <border>
      <left style="thin">
        <color rgb="FFC3C9EC"/>
      </left>
      <right/>
      <top style="thin">
        <color rgb="FFC3C9EC"/>
      </top>
      <bottom style="thin">
        <color rgb="FFC3C9EC"/>
      </bottom>
      <diagonal/>
    </border>
    <border>
      <left style="thin">
        <color rgb="FFC3C9EC"/>
      </left>
      <right/>
      <top style="thin">
        <color rgb="FFC3C9EC"/>
      </top>
      <bottom/>
      <diagonal/>
    </border>
    <border>
      <left style="thin">
        <color rgb="FFC3C9EC"/>
      </left>
      <right style="thin">
        <color rgb="FFC3C9EC"/>
      </right>
      <top style="thin">
        <color rgb="FFC3C9EC"/>
      </top>
      <bottom/>
      <diagonal/>
    </border>
  </borders>
  <cellStyleXfs count="4">
    <xf numFmtId="0" fontId="0" fillId="0" borderId="0"/>
    <xf numFmtId="0" fontId="4" fillId="0" borderId="0">
      <alignment vertical="top"/>
      <protection locked="0"/>
    </xf>
    <xf numFmtId="0" fontId="12" fillId="0" borderId="0" applyNumberFormat="0" applyFill="0" applyBorder="0" applyAlignment="0" applyProtection="0"/>
    <xf numFmtId="0" fontId="15" fillId="0" borderId="0"/>
  </cellStyleXfs>
  <cellXfs count="92">
    <xf numFmtId="0" fontId="0" fillId="0" borderId="0" xfId="0"/>
    <xf numFmtId="0" fontId="2" fillId="0" borderId="0" xfId="0" applyFont="1"/>
    <xf numFmtId="0" fontId="3" fillId="0" borderId="0" xfId="0" applyFont="1"/>
    <xf numFmtId="0" fontId="0" fillId="3" borderId="0" xfId="0" applyFill="1" applyAlignment="1">
      <alignment horizontal="left"/>
    </xf>
    <xf numFmtId="14" fontId="0" fillId="3" borderId="0" xfId="0" applyNumberFormat="1" applyFill="1"/>
    <xf numFmtId="0" fontId="0" fillId="3" borderId="0" xfId="0" applyFill="1"/>
    <xf numFmtId="0" fontId="5" fillId="3" borderId="0" xfId="0" applyFont="1" applyFill="1"/>
    <xf numFmtId="0" fontId="6" fillId="0" borderId="0" xfId="0" applyFont="1"/>
    <xf numFmtId="0" fontId="5" fillId="0" borderId="0" xfId="0" applyFont="1"/>
    <xf numFmtId="0" fontId="0" fillId="3" borderId="0" xfId="0" applyFill="1" applyAlignment="1">
      <alignment horizontal="left" indent="1"/>
    </xf>
    <xf numFmtId="0" fontId="7" fillId="4" borderId="0" xfId="0" applyFont="1" applyFill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center"/>
    </xf>
    <xf numFmtId="0" fontId="8" fillId="0" borderId="0" xfId="0" applyFont="1"/>
    <xf numFmtId="49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vertical="center" wrapText="1"/>
    </xf>
    <xf numFmtId="0" fontId="11" fillId="5" borderId="11" xfId="0" applyFont="1" applyFill="1" applyBorder="1" applyAlignment="1">
      <alignment horizontal="left" vertical="center"/>
    </xf>
    <xf numFmtId="0" fontId="11" fillId="6" borderId="14" xfId="0" applyFont="1" applyFill="1" applyBorder="1" applyAlignment="1">
      <alignment horizontal="left" vertical="center"/>
    </xf>
    <xf numFmtId="0" fontId="11" fillId="5" borderId="14" xfId="0" applyFont="1" applyFill="1" applyBorder="1" applyAlignment="1">
      <alignment horizontal="left" vertical="center"/>
    </xf>
    <xf numFmtId="0" fontId="11" fillId="7" borderId="14" xfId="0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left" vertical="center"/>
    </xf>
    <xf numFmtId="0" fontId="0" fillId="8" borderId="0" xfId="0" applyFill="1"/>
    <xf numFmtId="0" fontId="11" fillId="7" borderId="1" xfId="0" applyFont="1" applyFill="1" applyBorder="1" applyAlignment="1">
      <alignment horizontal="left" vertical="center"/>
    </xf>
    <xf numFmtId="49" fontId="0" fillId="9" borderId="19" xfId="0" applyNumberFormat="1" applyFill="1" applyBorder="1" applyProtection="1">
      <protection locked="0"/>
    </xf>
    <xf numFmtId="49" fontId="0" fillId="9" borderId="20" xfId="0" applyNumberFormat="1" applyFill="1" applyBorder="1" applyProtection="1">
      <protection locked="0"/>
    </xf>
    <xf numFmtId="49" fontId="0" fillId="9" borderId="20" xfId="0" quotePrefix="1" applyNumberFormat="1" applyFill="1" applyBorder="1" applyProtection="1">
      <protection locked="0"/>
    </xf>
    <xf numFmtId="0" fontId="11" fillId="10" borderId="1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left" vertical="center"/>
    </xf>
    <xf numFmtId="0" fontId="12" fillId="8" borderId="0" xfId="2" quotePrefix="1" applyFill="1"/>
    <xf numFmtId="49" fontId="13" fillId="8" borderId="0" xfId="0" applyNumberFormat="1" applyFont="1" applyFill="1" applyAlignment="1" applyProtection="1">
      <alignment horizontal="center" wrapText="1"/>
      <protection locked="0"/>
    </xf>
    <xf numFmtId="49" fontId="14" fillId="8" borderId="0" xfId="0" applyNumberFormat="1" applyFont="1" applyFill="1" applyAlignment="1" applyProtection="1">
      <alignment horizontal="center" wrapText="1"/>
      <protection locked="0"/>
    </xf>
    <xf numFmtId="49" fontId="12" fillId="8" borderId="0" xfId="2" applyNumberFormat="1" applyFill="1" applyBorder="1" applyAlignment="1" applyProtection="1">
      <alignment horizontal="center" wrapText="1"/>
      <protection locked="0"/>
    </xf>
    <xf numFmtId="0" fontId="0" fillId="6" borderId="1" xfId="0" applyFill="1" applyBorder="1"/>
    <xf numFmtId="0" fontId="0" fillId="6" borderId="1" xfId="0" applyFill="1" applyBorder="1" applyAlignment="1">
      <alignment vertical="top" wrapText="1"/>
    </xf>
    <xf numFmtId="0" fontId="16" fillId="0" borderId="0" xfId="0" applyFont="1"/>
    <xf numFmtId="0" fontId="18" fillId="11" borderId="0" xfId="0" applyFont="1" applyFill="1"/>
    <xf numFmtId="0" fontId="0" fillId="0" borderId="26" xfId="0" applyBorder="1"/>
    <xf numFmtId="49" fontId="0" fillId="2" borderId="26" xfId="0" applyNumberFormat="1" applyFill="1" applyBorder="1" applyAlignment="1">
      <alignment vertical="top" wrapText="1"/>
    </xf>
    <xf numFmtId="0" fontId="1" fillId="0" borderId="25" xfId="0" applyFont="1" applyBorder="1"/>
    <xf numFmtId="0" fontId="0" fillId="0" borderId="27" xfId="0" applyBorder="1"/>
    <xf numFmtId="49" fontId="0" fillId="2" borderId="27" xfId="0" applyNumberFormat="1" applyFill="1" applyBorder="1" applyAlignment="1">
      <alignment vertical="top" wrapText="1"/>
    </xf>
    <xf numFmtId="0" fontId="1" fillId="0" borderId="28" xfId="0" applyFont="1" applyBorder="1"/>
    <xf numFmtId="0" fontId="9" fillId="0" borderId="25" xfId="0" applyFont="1" applyBorder="1"/>
    <xf numFmtId="14" fontId="0" fillId="2" borderId="26" xfId="0" applyNumberFormat="1" applyFill="1" applyBorder="1" applyAlignment="1">
      <alignment vertical="top" wrapText="1"/>
    </xf>
    <xf numFmtId="14" fontId="0" fillId="2" borderId="27" xfId="0" applyNumberFormat="1" applyFill="1" applyBorder="1" applyAlignment="1">
      <alignment vertical="top" wrapText="1"/>
    </xf>
    <xf numFmtId="0" fontId="0" fillId="2" borderId="27" xfId="0" applyFill="1" applyBorder="1" applyAlignment="1">
      <alignment vertical="top" wrapText="1"/>
    </xf>
    <xf numFmtId="0" fontId="21" fillId="0" borderId="0" xfId="0" applyFont="1"/>
    <xf numFmtId="0" fontId="20" fillId="0" borderId="0" xfId="0" applyFont="1"/>
    <xf numFmtId="0" fontId="22" fillId="0" borderId="0" xfId="0" applyFont="1"/>
    <xf numFmtId="0" fontId="19" fillId="12" borderId="24" xfId="0" applyFont="1" applyFill="1" applyBorder="1"/>
    <xf numFmtId="0" fontId="20" fillId="12" borderId="0" xfId="0" applyFont="1" applyFill="1"/>
    <xf numFmtId="0" fontId="17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3" borderId="0" xfId="0" applyFill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0" fontId="15" fillId="7" borderId="21" xfId="0" applyFont="1" applyFill="1" applyBorder="1" applyAlignment="1" applyProtection="1">
      <alignment horizontal="center" vertical="center" wrapText="1"/>
      <protection locked="0"/>
    </xf>
    <xf numFmtId="0" fontId="15" fillId="7" borderId="22" xfId="0" applyFont="1" applyFill="1" applyBorder="1" applyAlignment="1" applyProtection="1">
      <alignment horizontal="center" vertical="center" wrapText="1"/>
      <protection locked="0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5" fillId="7" borderId="1" xfId="3" applyFill="1" applyBorder="1" applyAlignment="1" applyProtection="1">
      <alignment horizontal="center" vertical="center"/>
      <protection locked="0"/>
    </xf>
    <xf numFmtId="0" fontId="15" fillId="0" borderId="21" xfId="2" applyNumberFormat="1" applyFont="1" applyBorder="1" applyAlignment="1">
      <alignment horizontal="center" vertical="center"/>
    </xf>
    <xf numFmtId="0" fontId="15" fillId="0" borderId="22" xfId="2" applyNumberFormat="1" applyFont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4">
    <cellStyle name="Lien hypertexte" xfId="2" builtinId="8"/>
    <cellStyle name="Lien hypertexte 2" xfId="1" xr:uid="{00000000-0005-0000-0000-000001000000}"/>
    <cellStyle name="Normal" xfId="0" builtinId="0"/>
    <cellStyle name="Normal 2" xfId="3" xr:uid="{7BFFCD41-7358-48EF-AB97-617F42821A2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2</xdr:row>
      <xdr:rowOff>22225</xdr:rowOff>
    </xdr:from>
    <xdr:to>
      <xdr:col>10</xdr:col>
      <xdr:colOff>228600</xdr:colOff>
      <xdr:row>4</xdr:row>
      <xdr:rowOff>73025</xdr:rowOff>
    </xdr:to>
    <xdr:sp macro="GenererComplet" textlink="">
      <xdr:nvSpPr>
        <xdr:cNvPr id="7" name="Btn_GenererComplet">
          <a:extLst>
            <a:ext uri="{FF2B5EF4-FFF2-40B4-BE49-F238E27FC236}">
              <a16:creationId xmlns:a16="http://schemas.microsoft.com/office/drawing/2014/main" id="{AD607DB2-0392-5F3D-DEFD-7E2F512A73AB}"/>
            </a:ext>
          </a:extLst>
        </xdr:cNvPr>
        <xdr:cNvSpPr/>
      </xdr:nvSpPr>
      <xdr:spPr>
        <a:xfrm>
          <a:off x="9220200" y="850900"/>
          <a:ext cx="3810000" cy="431800"/>
        </a:xfrm>
        <a:prstGeom prst="rect">
          <a:avLst/>
        </a:prstGeom>
        <a:solidFill>
          <a:srgbClr val="0019A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Arial" panose="020B0604020202020204" pitchFamily="34" charset="0"/>
            </a:rPr>
            <a:t>GÉNÉRER LE DOSSIER DE MISE EN SERVICE</a:t>
          </a:r>
        </a:p>
      </xdr:txBody>
    </xdr:sp>
    <xdr:clientData/>
  </xdr:twoCellAnchor>
  <xdr:twoCellAnchor editAs="absolute">
    <xdr:from>
      <xdr:col>4</xdr:col>
      <xdr:colOff>76200</xdr:colOff>
      <xdr:row>2</xdr:row>
      <xdr:rowOff>22225</xdr:rowOff>
    </xdr:from>
    <xdr:to>
      <xdr:col>4</xdr:col>
      <xdr:colOff>139700</xdr:colOff>
      <xdr:row>4</xdr:row>
      <xdr:rowOff>73025</xdr:rowOff>
    </xdr:to>
    <xdr:sp macro="GenererComplet" textlink="">
      <xdr:nvSpPr>
        <xdr:cNvPr id="8" name="Btn_bar">
          <a:extLst>
            <a:ext uri="{FF2B5EF4-FFF2-40B4-BE49-F238E27FC236}">
              <a16:creationId xmlns:a16="http://schemas.microsoft.com/office/drawing/2014/main" id="{5C11B53F-77D0-4379-E9AF-3F0EFB4D8887}"/>
            </a:ext>
          </a:extLst>
        </xdr:cNvPr>
        <xdr:cNvSpPr/>
      </xdr:nvSpPr>
      <xdr:spPr>
        <a:xfrm>
          <a:off x="9220200" y="850900"/>
          <a:ext cx="63500" cy="431800"/>
        </a:xfrm>
        <a:prstGeom prst="rect">
          <a:avLst/>
        </a:prstGeom>
        <a:solidFill>
          <a:srgbClr val="E330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76200</xdr:colOff>
      <xdr:row>4</xdr:row>
      <xdr:rowOff>149225</xdr:rowOff>
    </xdr:from>
    <xdr:to>
      <xdr:col>10</xdr:col>
      <xdr:colOff>228600</xdr:colOff>
      <xdr:row>6</xdr:row>
      <xdr:rowOff>73025</xdr:rowOff>
    </xdr:to>
    <xdr:sp macro="GenererPageDeGarde" textlink="">
      <xdr:nvSpPr>
        <xdr:cNvPr id="9" name="Btn_GenererPageDeGarde">
          <a:extLst>
            <a:ext uri="{FF2B5EF4-FFF2-40B4-BE49-F238E27FC236}">
              <a16:creationId xmlns:a16="http://schemas.microsoft.com/office/drawing/2014/main" id="{202F8228-D949-7A30-1247-56CFE6C041C1}"/>
            </a:ext>
          </a:extLst>
        </xdr:cNvPr>
        <xdr:cNvSpPr/>
      </xdr:nvSpPr>
      <xdr:spPr>
        <a:xfrm>
          <a:off x="9220200" y="1358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Page de garde chantier</a:t>
          </a:r>
        </a:p>
      </xdr:txBody>
    </xdr:sp>
    <xdr:clientData/>
  </xdr:twoCellAnchor>
  <xdr:twoCellAnchor editAs="absolute">
    <xdr:from>
      <xdr:col>4</xdr:col>
      <xdr:colOff>76200</xdr:colOff>
      <xdr:row>6</xdr:row>
      <xdr:rowOff>149225</xdr:rowOff>
    </xdr:from>
    <xdr:to>
      <xdr:col>10</xdr:col>
      <xdr:colOff>228600</xdr:colOff>
      <xdr:row>8</xdr:row>
      <xdr:rowOff>73025</xdr:rowOff>
    </xdr:to>
    <xdr:sp macro="GenererTestsAlarmes" textlink="">
      <xdr:nvSpPr>
        <xdr:cNvPr id="10" name="Btn_GenererTestsAlarmes">
          <a:extLst>
            <a:ext uri="{FF2B5EF4-FFF2-40B4-BE49-F238E27FC236}">
              <a16:creationId xmlns:a16="http://schemas.microsoft.com/office/drawing/2014/main" id="{0A6650AE-089D-998C-99E7-FCD33379EB67}"/>
            </a:ext>
          </a:extLst>
        </xdr:cNvPr>
        <xdr:cNvSpPr/>
      </xdr:nvSpPr>
      <xdr:spPr>
        <a:xfrm>
          <a:off x="9220200" y="1739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tests alarmes</a:t>
          </a:r>
        </a:p>
      </xdr:txBody>
    </xdr:sp>
    <xdr:clientData/>
  </xdr:twoCellAnchor>
  <xdr:twoCellAnchor editAs="absolute">
    <xdr:from>
      <xdr:col>4</xdr:col>
      <xdr:colOff>76200</xdr:colOff>
      <xdr:row>8</xdr:row>
      <xdr:rowOff>149225</xdr:rowOff>
    </xdr:from>
    <xdr:to>
      <xdr:col>10</xdr:col>
      <xdr:colOff>228600</xdr:colOff>
      <xdr:row>10</xdr:row>
      <xdr:rowOff>73025</xdr:rowOff>
    </xdr:to>
    <xdr:sp macro="GenererReceptionPharma" textlink="">
      <xdr:nvSpPr>
        <xdr:cNvPr id="11" name="Btn_GenererReceptionPharma">
          <a:extLst>
            <a:ext uri="{FF2B5EF4-FFF2-40B4-BE49-F238E27FC236}">
              <a16:creationId xmlns:a16="http://schemas.microsoft.com/office/drawing/2014/main" id="{49514690-5654-C2FA-EBB9-3E3F4A7A9C29}"/>
            </a:ext>
          </a:extLst>
        </xdr:cNvPr>
        <xdr:cNvSpPr/>
      </xdr:nvSpPr>
      <xdr:spPr>
        <a:xfrm>
          <a:off x="9220200" y="2120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réception pharmaceutique</a:t>
          </a:r>
        </a:p>
      </xdr:txBody>
    </xdr:sp>
    <xdr:clientData/>
  </xdr:twoCellAnchor>
  <xdr:twoCellAnchor editAs="absolute">
    <xdr:from>
      <xdr:col>4</xdr:col>
      <xdr:colOff>76200</xdr:colOff>
      <xdr:row>10</xdr:row>
      <xdr:rowOff>149225</xdr:rowOff>
    </xdr:from>
    <xdr:to>
      <xdr:col>10</xdr:col>
      <xdr:colOff>228600</xdr:colOff>
      <xdr:row>12</xdr:row>
      <xdr:rowOff>73025</xdr:rowOff>
    </xdr:to>
    <xdr:sp macro="GenererReceptionProvisoire" textlink="">
      <xdr:nvSpPr>
        <xdr:cNvPr id="12" name="Btn_GenererReceptionProvisoire">
          <a:extLst>
            <a:ext uri="{FF2B5EF4-FFF2-40B4-BE49-F238E27FC236}">
              <a16:creationId xmlns:a16="http://schemas.microsoft.com/office/drawing/2014/main" id="{D0EE42B4-AEB0-718A-9C68-72AA679F5F02}"/>
            </a:ext>
          </a:extLst>
        </xdr:cNvPr>
        <xdr:cNvSpPr/>
      </xdr:nvSpPr>
      <xdr:spPr>
        <a:xfrm>
          <a:off x="9220200" y="2501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Certificat réception provisoire</a:t>
          </a:r>
        </a:p>
      </xdr:txBody>
    </xdr:sp>
    <xdr:clientData/>
  </xdr:twoCellAnchor>
  <xdr:twoCellAnchor editAs="absolute">
    <xdr:from>
      <xdr:col>4</xdr:col>
      <xdr:colOff>76200</xdr:colOff>
      <xdr:row>12</xdr:row>
      <xdr:rowOff>149225</xdr:rowOff>
    </xdr:from>
    <xdr:to>
      <xdr:col>10</xdr:col>
      <xdr:colOff>228600</xdr:colOff>
      <xdr:row>14</xdr:row>
      <xdr:rowOff>73025</xdr:rowOff>
    </xdr:to>
    <xdr:sp macro="GenererAutocontrole" textlink="">
      <xdr:nvSpPr>
        <xdr:cNvPr id="13" name="Btn_GenererAutocontrole">
          <a:extLst>
            <a:ext uri="{FF2B5EF4-FFF2-40B4-BE49-F238E27FC236}">
              <a16:creationId xmlns:a16="http://schemas.microsoft.com/office/drawing/2014/main" id="{925805CC-6422-27CE-EA10-A3B9EDB09EAF}"/>
            </a:ext>
          </a:extLst>
        </xdr:cNvPr>
        <xdr:cNvSpPr/>
      </xdr:nvSpPr>
      <xdr:spPr>
        <a:xfrm>
          <a:off x="9220200" y="2882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Autocontrôle (selon la typologie)</a:t>
          </a:r>
        </a:p>
      </xdr:txBody>
    </xdr:sp>
    <xdr:clientData/>
  </xdr:twoCellAnchor>
  <xdr:twoCellAnchor editAs="absolute">
    <xdr:from>
      <xdr:col>4</xdr:col>
      <xdr:colOff>76200</xdr:colOff>
      <xdr:row>14</xdr:row>
      <xdr:rowOff>149225</xdr:rowOff>
    </xdr:from>
    <xdr:to>
      <xdr:col>10</xdr:col>
      <xdr:colOff>228600</xdr:colOff>
      <xdr:row>16</xdr:row>
      <xdr:rowOff>73025</xdr:rowOff>
    </xdr:to>
    <xdr:sp macro="GenererMiseArret" textlink="">
      <xdr:nvSpPr>
        <xdr:cNvPr id="14" name="Btn_GenererMiseArret">
          <a:extLst>
            <a:ext uri="{FF2B5EF4-FFF2-40B4-BE49-F238E27FC236}">
              <a16:creationId xmlns:a16="http://schemas.microsoft.com/office/drawing/2014/main" id="{CAC17922-6697-00C9-1143-21987962ADAF}"/>
            </a:ext>
          </a:extLst>
        </xdr:cNvPr>
        <xdr:cNvSpPr/>
      </xdr:nvSpPr>
      <xdr:spPr>
        <a:xfrm>
          <a:off x="9220200" y="3263900"/>
          <a:ext cx="3810000" cy="304800"/>
        </a:xfrm>
        <a:prstGeom prst="rect">
          <a:avLst/>
        </a:prstGeom>
        <a:solidFill>
          <a:srgbClr val="FFFFFF"/>
        </a:solidFill>
        <a:ln w="12700">
          <a:solidFill>
            <a:srgbClr val="0019A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19A8"/>
              </a:solidFill>
              <a:latin typeface="Arial" panose="020B0604020202020204" pitchFamily="34" charset="0"/>
            </a:rPr>
            <a:t>Autorisation de mise à l'arrêt</a:t>
          </a:r>
        </a:p>
      </xdr:txBody>
    </xdr:sp>
    <xdr:clientData/>
  </xdr:twoCellAnchor>
  <xdr:twoCellAnchor editAs="oneCell">
    <xdr:from>
      <xdr:col>2</xdr:col>
      <xdr:colOff>1481166</xdr:colOff>
      <xdr:row>0</xdr:row>
      <xdr:rowOff>50800</xdr:rowOff>
    </xdr:from>
    <xdr:to>
      <xdr:col>2</xdr:col>
      <xdr:colOff>2990850</xdr:colOff>
      <xdr:row>0</xdr:row>
      <xdr:rowOff>584200</xdr:rowOff>
    </xdr:to>
    <xdr:pic>
      <xdr:nvPicPr>
        <xdr:cNvPr id="2" name="Logo_MESSER" descr="logo messer.gif">
          <a:extLst>
            <a:ext uri="{FF2B5EF4-FFF2-40B4-BE49-F238E27FC236}">
              <a16:creationId xmlns:a16="http://schemas.microsoft.com/office/drawing/2014/main" id="{66113D7B-2CE8-4BE9-B6A0-9C5055935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948516" y="50800"/>
          <a:ext cx="1509684" cy="533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3</xdr:col>
      <xdr:colOff>161290</xdr:colOff>
      <xdr:row>0</xdr:row>
      <xdr:rowOff>781050</xdr:rowOff>
    </xdr:to>
    <xdr:pic>
      <xdr:nvPicPr>
        <xdr:cNvPr id="2" name="Image 1" descr="logo messer.gif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0970" y="49530"/>
          <a:ext cx="2154555" cy="72771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1400175</xdr:colOff>
      <xdr:row>0</xdr:row>
      <xdr:rowOff>47625</xdr:rowOff>
    </xdr:from>
    <xdr:to>
      <xdr:col>6</xdr:col>
      <xdr:colOff>618490</xdr:colOff>
      <xdr:row>0</xdr:row>
      <xdr:rowOff>885797</xdr:rowOff>
    </xdr:to>
    <xdr:pic>
      <xdr:nvPicPr>
        <xdr:cNvPr id="3" name="Image 2" descr="Logo 2Gi-Technologie_RVB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617845" y="49530"/>
          <a:ext cx="849630" cy="83880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8</xdr:col>
      <xdr:colOff>0</xdr:colOff>
      <xdr:row>1</xdr:row>
      <xdr:rowOff>0</xdr:rowOff>
    </xdr:from>
    <xdr:to>
      <xdr:col>11</xdr:col>
      <xdr:colOff>330200</xdr:colOff>
      <xdr:row>3</xdr:row>
      <xdr:rowOff>50800</xdr:rowOff>
    </xdr:to>
    <xdr:grpSp>
      <xdr:nvGrpSpPr>
        <xdr:cNvPr id="6" name="BoutonExportEGYDE">
          <a:extLst>
            <a:ext uri="{FF2B5EF4-FFF2-40B4-BE49-F238E27FC236}">
              <a16:creationId xmlns:a16="http://schemas.microsoft.com/office/drawing/2014/main" id="{DC70D799-B898-237A-559B-B025EE99D56F}"/>
            </a:ext>
          </a:extLst>
        </xdr:cNvPr>
        <xdr:cNvGrpSpPr/>
      </xdr:nvGrpSpPr>
      <xdr:grpSpPr>
        <a:xfrm>
          <a:off x="7210425" y="923925"/>
          <a:ext cx="2159000" cy="431800"/>
          <a:chOff x="7210425" y="923925"/>
          <a:chExt cx="2159000" cy="431800"/>
        </a:xfrm>
      </xdr:grpSpPr>
      <xdr:sp macro="ExporterEGYDE" textlink="">
        <xdr:nvSpPr>
          <xdr:cNvPr id="4" name="BoutonExportEGYDE_fond">
            <a:extLst>
              <a:ext uri="{FF2B5EF4-FFF2-40B4-BE49-F238E27FC236}">
                <a16:creationId xmlns:a16="http://schemas.microsoft.com/office/drawing/2014/main" id="{CAF05FF6-A166-8916-893E-64EECDA1C681}"/>
              </a:ext>
            </a:extLst>
          </xdr:cNvPr>
          <xdr:cNvSpPr/>
        </xdr:nvSpPr>
        <xdr:spPr>
          <a:xfrm>
            <a:off x="7210425" y="923925"/>
            <a:ext cx="2159000" cy="431800"/>
          </a:xfrm>
          <a:prstGeom prst="rect">
            <a:avLst/>
          </a:prstGeom>
          <a:solidFill>
            <a:srgbClr val="0019A8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1600" rtlCol="0" anchor="ctr"/>
          <a:lstStyle/>
          <a:p>
            <a:pPr algn="ctr"/>
            <a:r>
              <a:rPr lang="fr-FR" sz="1100" b="1">
                <a:solidFill>
                  <a:srgbClr val="FFFFFF"/>
                </a:solidFill>
                <a:latin typeface="Arial" panose="020B0604020202020204" pitchFamily="34" charset="0"/>
              </a:rPr>
              <a:t>EXPORTER EGYDE</a:t>
            </a:r>
          </a:p>
        </xdr:txBody>
      </xdr:sp>
      <xdr:sp macro="ExporterEGYDE" textlink="">
        <xdr:nvSpPr>
          <xdr:cNvPr id="5" name="BoutonExportEGYDE_barre">
            <a:extLst>
              <a:ext uri="{FF2B5EF4-FFF2-40B4-BE49-F238E27FC236}">
                <a16:creationId xmlns:a16="http://schemas.microsoft.com/office/drawing/2014/main" id="{ECE5CABC-BDF1-F83A-96B4-FEEC100BA348}"/>
              </a:ext>
            </a:extLst>
          </xdr:cNvPr>
          <xdr:cNvSpPr/>
        </xdr:nvSpPr>
        <xdr:spPr>
          <a:xfrm>
            <a:off x="7210425" y="923925"/>
            <a:ext cx="63500" cy="431800"/>
          </a:xfrm>
          <a:prstGeom prst="rect">
            <a:avLst/>
          </a:prstGeom>
          <a:solidFill>
            <a:srgbClr val="E3302B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194733</xdr:colOff>
      <xdr:row>2</xdr:row>
      <xdr:rowOff>114300</xdr:rowOff>
    </xdr:from>
    <xdr:to>
      <xdr:col>3</xdr:col>
      <xdr:colOff>1682868</xdr:colOff>
      <xdr:row>4</xdr:row>
      <xdr:rowOff>106680</xdr:rowOff>
    </xdr:to>
    <xdr:pic>
      <xdr:nvPicPr>
        <xdr:cNvPr id="2" name="Image 9" descr="Logo-Messer-Pantone (2)">
          <a:extLst>
            <a:ext uri="{FF2B5EF4-FFF2-40B4-BE49-F238E27FC236}">
              <a16:creationId xmlns:a16="http://schemas.microsoft.com/office/drawing/2014/main" id="{D5B9C3A3-0A13-4A99-BBA9-0218283EA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1633" y="504825"/>
          <a:ext cx="1488135" cy="563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76200</xdr:colOff>
      <xdr:row>2</xdr:row>
      <xdr:rowOff>0</xdr:rowOff>
    </xdr:from>
    <xdr:to>
      <xdr:col>8</xdr:col>
      <xdr:colOff>330200</xdr:colOff>
      <xdr:row>3</xdr:row>
      <xdr:rowOff>146050</xdr:rowOff>
    </xdr:to>
    <xdr:grpSp>
      <xdr:nvGrpSpPr>
        <xdr:cNvPr id="5" name="BoutonExportRemplissage">
          <a:extLst>
            <a:ext uri="{FF2B5EF4-FFF2-40B4-BE49-F238E27FC236}">
              <a16:creationId xmlns:a16="http://schemas.microsoft.com/office/drawing/2014/main" id="{C526DFEB-5056-2765-7E8E-02F365B804CC}"/>
            </a:ext>
          </a:extLst>
        </xdr:cNvPr>
        <xdr:cNvGrpSpPr/>
      </xdr:nvGrpSpPr>
      <xdr:grpSpPr>
        <a:xfrm>
          <a:off x="8384117" y="391583"/>
          <a:ext cx="2540000" cy="431800"/>
          <a:chOff x="8391525" y="390525"/>
          <a:chExt cx="2540000" cy="431800"/>
        </a:xfrm>
      </xdr:grpSpPr>
      <xdr:sp macro="ExporterRemplissage" textlink="">
        <xdr:nvSpPr>
          <xdr:cNvPr id="3" name="BoutonExportRemplissage_fond">
            <a:extLst>
              <a:ext uri="{FF2B5EF4-FFF2-40B4-BE49-F238E27FC236}">
                <a16:creationId xmlns:a16="http://schemas.microsoft.com/office/drawing/2014/main" id="{17B06E1C-D40E-4CDD-6DF6-0C2B38EFCC65}"/>
              </a:ext>
            </a:extLst>
          </xdr:cNvPr>
          <xdr:cNvSpPr/>
        </xdr:nvSpPr>
        <xdr:spPr>
          <a:xfrm>
            <a:off x="8391525" y="390525"/>
            <a:ext cx="2540000" cy="431800"/>
          </a:xfrm>
          <a:prstGeom prst="rect">
            <a:avLst/>
          </a:prstGeom>
          <a:solidFill>
            <a:srgbClr val="0019A8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1600" rtlCol="0" anchor="ctr"/>
          <a:lstStyle/>
          <a:p>
            <a:pPr algn="ctr"/>
            <a:r>
              <a:rPr lang="fr-FR" sz="1100" b="1">
                <a:solidFill>
                  <a:srgbClr val="FFFFFF"/>
                </a:solidFill>
                <a:latin typeface="Arial" panose="020B0604020202020204" pitchFamily="34" charset="0"/>
              </a:rPr>
              <a:t>EXPORTER REMPLISSAGE</a:t>
            </a:r>
          </a:p>
        </xdr:txBody>
      </xdr:sp>
      <xdr:sp macro="ExporterRemplissage" textlink="">
        <xdr:nvSpPr>
          <xdr:cNvPr id="4" name="BoutonExportRemplissage_barre">
            <a:extLst>
              <a:ext uri="{FF2B5EF4-FFF2-40B4-BE49-F238E27FC236}">
                <a16:creationId xmlns:a16="http://schemas.microsoft.com/office/drawing/2014/main" id="{F9BF7390-92DD-89B1-1730-0859CCA71EC6}"/>
              </a:ext>
            </a:extLst>
          </xdr:cNvPr>
          <xdr:cNvSpPr/>
        </xdr:nvSpPr>
        <xdr:spPr>
          <a:xfrm>
            <a:off x="8391525" y="390525"/>
            <a:ext cx="63500" cy="431800"/>
          </a:xfrm>
          <a:prstGeom prst="rect">
            <a:avLst/>
          </a:prstGeom>
          <a:solidFill>
            <a:srgbClr val="E3302B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15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36</xdr:row>
      <xdr:rowOff>0</xdr:rowOff>
    </xdr:from>
    <xdr:to>
      <xdr:col>2</xdr:col>
      <xdr:colOff>342900</xdr:colOff>
      <xdr:row>49</xdr:row>
      <xdr:rowOff>9686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876550"/>
          <a:ext cx="8890000" cy="248618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63500</xdr:colOff>
      <xdr:row>51</xdr:row>
      <xdr:rowOff>0</xdr:rowOff>
    </xdr:from>
    <xdr:to>
      <xdr:col>0</xdr:col>
      <xdr:colOff>7175500</xdr:colOff>
      <xdr:row>70</xdr:row>
      <xdr:rowOff>114300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FCD2AB40-A272-579C-A6FE-F8F2739D3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5934075"/>
          <a:ext cx="7112000" cy="37338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167</xdr:row>
      <xdr:rowOff>0</xdr:rowOff>
    </xdr:from>
    <xdr:to>
      <xdr:col>0</xdr:col>
      <xdr:colOff>7175500</xdr:colOff>
      <xdr:row>172</xdr:row>
      <xdr:rowOff>53588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5E860FC1-4906-09C5-529E-E6AAEFD9A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8051125"/>
          <a:ext cx="7112000" cy="1006088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174</xdr:row>
      <xdr:rowOff>0</xdr:rowOff>
    </xdr:from>
    <xdr:to>
      <xdr:col>0</xdr:col>
      <xdr:colOff>6667500</xdr:colOff>
      <xdr:row>197</xdr:row>
      <xdr:rowOff>114840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4E1643F6-38F8-5B6D-C7C7-9F843D0D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9384625"/>
          <a:ext cx="6604000" cy="449634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73</xdr:row>
      <xdr:rowOff>0</xdr:rowOff>
    </xdr:from>
    <xdr:to>
      <xdr:col>1</xdr:col>
      <xdr:colOff>190500</xdr:colOff>
      <xdr:row>90</xdr:row>
      <xdr:rowOff>175260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1C64965-B5D4-CB5E-DC65-E6BE69067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0125075"/>
          <a:ext cx="8128000" cy="341376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141</xdr:row>
      <xdr:rowOff>0</xdr:rowOff>
    </xdr:from>
    <xdr:to>
      <xdr:col>1</xdr:col>
      <xdr:colOff>190500</xdr:colOff>
      <xdr:row>151</xdr:row>
      <xdr:rowOff>130438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44861315-FE9D-B744-6AB4-908960F1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3088600"/>
          <a:ext cx="8128000" cy="2035438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96</xdr:row>
      <xdr:rowOff>3</xdr:rowOff>
    </xdr:from>
    <xdr:to>
      <xdr:col>0</xdr:col>
      <xdr:colOff>7175500</xdr:colOff>
      <xdr:row>118</xdr:row>
      <xdr:rowOff>11548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E4E1D45-96E8-9D7A-3C76-5AB52FEE5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4516103"/>
          <a:ext cx="7112000" cy="420254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154</xdr:row>
      <xdr:rowOff>0</xdr:rowOff>
    </xdr:from>
    <xdr:to>
      <xdr:col>0</xdr:col>
      <xdr:colOff>4127500</xdr:colOff>
      <xdr:row>163</xdr:row>
      <xdr:rowOff>114300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32EF5DEA-C976-0398-2D6B-B9A2F2EE3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5565100"/>
          <a:ext cx="4064000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120</xdr:row>
      <xdr:rowOff>1</xdr:rowOff>
    </xdr:from>
    <xdr:to>
      <xdr:col>1</xdr:col>
      <xdr:colOff>190500</xdr:colOff>
      <xdr:row>138</xdr:row>
      <xdr:rowOff>158532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6188652D-ABC1-4A53-B44D-87D80307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9088101"/>
          <a:ext cx="8128000" cy="3587531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15</xdr:row>
      <xdr:rowOff>0</xdr:rowOff>
    </xdr:from>
    <xdr:to>
      <xdr:col>2</xdr:col>
      <xdr:colOff>342900</xdr:colOff>
      <xdr:row>31</xdr:row>
      <xdr:rowOff>149570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8588ED13-9BBE-29F1-5F7B-AB095FFD8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2895600"/>
          <a:ext cx="8890000" cy="31975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1"/>
  <sheetViews>
    <sheetView tabSelected="1" workbookViewId="0">
      <pane ySplit="2" topLeftCell="A3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34" customWidth="1"/>
    <col min="2" max="2" width="48" customWidth="1"/>
    <col min="3" max="3" width="46" customWidth="1"/>
  </cols>
  <sheetData>
    <row r="1" spans="1:5" ht="50.1" customHeight="1" thickBot="1" x14ac:dyDescent="0.3">
      <c r="A1" s="58" t="s">
        <v>0</v>
      </c>
      <c r="B1" s="59"/>
      <c r="C1" s="59"/>
    </row>
    <row r="2" spans="1:5" ht="15.75" thickTop="1" x14ac:dyDescent="0.25">
      <c r="A2" s="42" t="s">
        <v>1</v>
      </c>
      <c r="B2" s="42" t="s">
        <v>2</v>
      </c>
      <c r="C2" s="42" t="s">
        <v>3</v>
      </c>
      <c r="E2" s="41" t="s">
        <v>260</v>
      </c>
    </row>
    <row r="3" spans="1:5" x14ac:dyDescent="0.25">
      <c r="A3" s="56" t="s">
        <v>4</v>
      </c>
      <c r="B3" s="57"/>
      <c r="C3" s="57"/>
    </row>
    <row r="4" spans="1:5" x14ac:dyDescent="0.25">
      <c r="A4" s="46" t="s">
        <v>5</v>
      </c>
      <c r="B4" s="47"/>
      <c r="C4" s="48"/>
    </row>
    <row r="5" spans="1:5" x14ac:dyDescent="0.25">
      <c r="A5" s="46" t="s">
        <v>6</v>
      </c>
      <c r="B5" s="47"/>
      <c r="C5" s="48"/>
    </row>
    <row r="6" spans="1:5" x14ac:dyDescent="0.25">
      <c r="A6" s="46" t="s">
        <v>7</v>
      </c>
      <c r="B6" s="47"/>
      <c r="C6" s="48" t="s">
        <v>262</v>
      </c>
    </row>
    <row r="7" spans="1:5" x14ac:dyDescent="0.25">
      <c r="A7" s="46" t="s">
        <v>8</v>
      </c>
      <c r="B7" s="47"/>
      <c r="C7" s="48"/>
    </row>
    <row r="8" spans="1:5" x14ac:dyDescent="0.25">
      <c r="A8" s="46" t="s">
        <v>9</v>
      </c>
      <c r="B8" s="47"/>
      <c r="C8" s="48" t="s">
        <v>269</v>
      </c>
    </row>
    <row r="9" spans="1:5" x14ac:dyDescent="0.25">
      <c r="A9" s="46" t="s">
        <v>10</v>
      </c>
      <c r="B9" s="47"/>
      <c r="C9" s="48"/>
    </row>
    <row r="10" spans="1:5" x14ac:dyDescent="0.25">
      <c r="A10" s="46" t="s">
        <v>11</v>
      </c>
      <c r="B10" s="47"/>
      <c r="C10" s="48"/>
    </row>
    <row r="11" spans="1:5" x14ac:dyDescent="0.25">
      <c r="A11" s="46" t="s">
        <v>12</v>
      </c>
      <c r="B11" s="47"/>
      <c r="C11" s="48"/>
    </row>
    <row r="12" spans="1:5" x14ac:dyDescent="0.25">
      <c r="A12" s="46" t="s">
        <v>13</v>
      </c>
      <c r="B12" s="47"/>
      <c r="C12" s="48"/>
    </row>
    <row r="13" spans="1:5" x14ac:dyDescent="0.25">
      <c r="A13" s="43" t="s">
        <v>142</v>
      </c>
      <c r="B13" s="44" t="s">
        <v>143</v>
      </c>
      <c r="C13" s="49" t="s">
        <v>144</v>
      </c>
    </row>
    <row r="15" spans="1:5" x14ac:dyDescent="0.25">
      <c r="A15" s="56" t="s">
        <v>14</v>
      </c>
      <c r="B15" s="57"/>
      <c r="C15" s="57"/>
    </row>
    <row r="16" spans="1:5" x14ac:dyDescent="0.25">
      <c r="A16" s="46" t="s">
        <v>15</v>
      </c>
      <c r="B16" s="47"/>
      <c r="C16" s="48"/>
    </row>
    <row r="17" spans="1:3" x14ac:dyDescent="0.25">
      <c r="A17" s="46" t="s">
        <v>16</v>
      </c>
      <c r="B17" s="47"/>
      <c r="C17" s="48"/>
    </row>
    <row r="18" spans="1:3" x14ac:dyDescent="0.25">
      <c r="A18" s="46" t="s">
        <v>17</v>
      </c>
      <c r="B18" s="47"/>
      <c r="C18" s="48"/>
    </row>
    <row r="19" spans="1:3" x14ac:dyDescent="0.25">
      <c r="A19" s="46" t="s">
        <v>266</v>
      </c>
      <c r="B19" s="47"/>
      <c r="C19" s="48" t="s">
        <v>263</v>
      </c>
    </row>
    <row r="20" spans="1:3" x14ac:dyDescent="0.25">
      <c r="A20" s="46" t="s">
        <v>267</v>
      </c>
      <c r="B20" s="47"/>
      <c r="C20" s="48" t="s">
        <v>264</v>
      </c>
    </row>
    <row r="21" spans="1:3" x14ac:dyDescent="0.25">
      <c r="A21" s="43" t="s">
        <v>268</v>
      </c>
      <c r="B21" s="44"/>
      <c r="C21" s="45" t="s">
        <v>265</v>
      </c>
    </row>
    <row r="23" spans="1:3" x14ac:dyDescent="0.25">
      <c r="A23" s="56" t="s">
        <v>18</v>
      </c>
      <c r="B23" s="57"/>
      <c r="C23" s="57"/>
    </row>
    <row r="24" spans="1:3" x14ac:dyDescent="0.25">
      <c r="A24" s="46" t="s">
        <v>19</v>
      </c>
      <c r="B24" s="47"/>
      <c r="C24" s="48" t="s">
        <v>20</v>
      </c>
    </row>
    <row r="25" spans="1:3" x14ac:dyDescent="0.25">
      <c r="A25" s="46" t="s">
        <v>21</v>
      </c>
      <c r="B25" s="47"/>
      <c r="C25" s="48" t="s">
        <v>20</v>
      </c>
    </row>
    <row r="26" spans="1:3" x14ac:dyDescent="0.25">
      <c r="A26" s="46" t="s">
        <v>22</v>
      </c>
      <c r="B26" s="47"/>
      <c r="C26" s="48" t="s">
        <v>20</v>
      </c>
    </row>
    <row r="27" spans="1:3" x14ac:dyDescent="0.25">
      <c r="A27" s="46" t="s">
        <v>23</v>
      </c>
      <c r="B27" s="47"/>
      <c r="C27" s="48" t="s">
        <v>20</v>
      </c>
    </row>
    <row r="28" spans="1:3" x14ac:dyDescent="0.25">
      <c r="A28" s="46" t="s">
        <v>24</v>
      </c>
      <c r="B28" s="47"/>
      <c r="C28" s="48" t="s">
        <v>20</v>
      </c>
    </row>
    <row r="29" spans="1:3" x14ac:dyDescent="0.25">
      <c r="A29" s="46" t="s">
        <v>25</v>
      </c>
      <c r="B29" s="47"/>
      <c r="C29" s="48" t="s">
        <v>20</v>
      </c>
    </row>
    <row r="30" spans="1:3" x14ac:dyDescent="0.25">
      <c r="A30" s="46" t="s">
        <v>26</v>
      </c>
      <c r="B30" s="47"/>
      <c r="C30" s="48" t="s">
        <v>20</v>
      </c>
    </row>
    <row r="31" spans="1:3" x14ac:dyDescent="0.25">
      <c r="A31" s="43" t="s">
        <v>27</v>
      </c>
      <c r="B31" s="44" t="s">
        <v>28</v>
      </c>
      <c r="C31" s="45" t="s">
        <v>29</v>
      </c>
    </row>
    <row r="33" spans="1:3" x14ac:dyDescent="0.25">
      <c r="A33" s="56" t="s">
        <v>30</v>
      </c>
      <c r="B33" s="57"/>
      <c r="C33" s="57"/>
    </row>
    <row r="34" spans="1:3" x14ac:dyDescent="0.25">
      <c r="A34" s="46" t="s">
        <v>19</v>
      </c>
      <c r="B34" s="47"/>
      <c r="C34" s="48" t="s">
        <v>20</v>
      </c>
    </row>
    <row r="35" spans="1:3" x14ac:dyDescent="0.25">
      <c r="A35" s="46" t="s">
        <v>21</v>
      </c>
      <c r="B35" s="47"/>
      <c r="C35" s="48" t="s">
        <v>20</v>
      </c>
    </row>
    <row r="36" spans="1:3" x14ac:dyDescent="0.25">
      <c r="A36" s="46" t="s">
        <v>22</v>
      </c>
      <c r="B36" s="47"/>
      <c r="C36" s="48" t="s">
        <v>20</v>
      </c>
    </row>
    <row r="37" spans="1:3" x14ac:dyDescent="0.25">
      <c r="A37" s="46" t="s">
        <v>23</v>
      </c>
      <c r="B37" s="47"/>
      <c r="C37" s="48" t="s">
        <v>20</v>
      </c>
    </row>
    <row r="38" spans="1:3" x14ac:dyDescent="0.25">
      <c r="A38" s="46" t="s">
        <v>24</v>
      </c>
      <c r="B38" s="47"/>
      <c r="C38" s="48" t="s">
        <v>20</v>
      </c>
    </row>
    <row r="39" spans="1:3" x14ac:dyDescent="0.25">
      <c r="A39" s="46" t="s">
        <v>25</v>
      </c>
      <c r="B39" s="47"/>
      <c r="C39" s="48" t="s">
        <v>20</v>
      </c>
    </row>
    <row r="40" spans="1:3" x14ac:dyDescent="0.25">
      <c r="A40" s="46" t="s">
        <v>26</v>
      </c>
      <c r="B40" s="47"/>
      <c r="C40" s="48" t="s">
        <v>20</v>
      </c>
    </row>
    <row r="41" spans="1:3" x14ac:dyDescent="0.25">
      <c r="A41" s="43" t="s">
        <v>27</v>
      </c>
      <c r="B41" s="44" t="s">
        <v>28</v>
      </c>
      <c r="C41" s="45" t="s">
        <v>29</v>
      </c>
    </row>
    <row r="43" spans="1:3" x14ac:dyDescent="0.25">
      <c r="A43" s="56" t="s">
        <v>31</v>
      </c>
      <c r="B43" s="57"/>
      <c r="C43" s="57"/>
    </row>
    <row r="44" spans="1:3" x14ac:dyDescent="0.25">
      <c r="A44" s="46" t="s">
        <v>32</v>
      </c>
      <c r="B44" s="51"/>
      <c r="C44" s="48" t="s">
        <v>33</v>
      </c>
    </row>
    <row r="45" spans="1:3" x14ac:dyDescent="0.25">
      <c r="A45" s="46" t="s">
        <v>34</v>
      </c>
      <c r="B45" s="51"/>
      <c r="C45" s="48" t="s">
        <v>35</v>
      </c>
    </row>
    <row r="46" spans="1:3" x14ac:dyDescent="0.25">
      <c r="A46" s="46" t="s">
        <v>36</v>
      </c>
      <c r="B46" s="47"/>
      <c r="C46" s="48" t="s">
        <v>37</v>
      </c>
    </row>
    <row r="47" spans="1:3" x14ac:dyDescent="0.25">
      <c r="A47" s="46" t="s">
        <v>38</v>
      </c>
      <c r="B47" s="47"/>
      <c r="C47" s="48" t="s">
        <v>39</v>
      </c>
    </row>
    <row r="48" spans="1:3" x14ac:dyDescent="0.25">
      <c r="A48" s="46" t="s">
        <v>40</v>
      </c>
      <c r="B48" s="47"/>
      <c r="C48" s="48"/>
    </row>
    <row r="49" spans="1:3" x14ac:dyDescent="0.25">
      <c r="A49" s="46" t="s">
        <v>41</v>
      </c>
      <c r="B49" s="47"/>
      <c r="C49" s="48"/>
    </row>
    <row r="50" spans="1:3" x14ac:dyDescent="0.25">
      <c r="A50" s="46" t="s">
        <v>42</v>
      </c>
      <c r="B50" s="47"/>
      <c r="C50" s="48"/>
    </row>
    <row r="51" spans="1:3" x14ac:dyDescent="0.25">
      <c r="A51" s="46" t="s">
        <v>43</v>
      </c>
      <c r="B51" s="47"/>
      <c r="C51" s="48"/>
    </row>
    <row r="52" spans="1:3" x14ac:dyDescent="0.25">
      <c r="A52" s="46" t="s">
        <v>44</v>
      </c>
      <c r="B52" s="47"/>
      <c r="C52" s="48" t="s">
        <v>45</v>
      </c>
    </row>
    <row r="53" spans="1:3" x14ac:dyDescent="0.25">
      <c r="A53" s="46" t="s">
        <v>46</v>
      </c>
      <c r="B53" s="47"/>
      <c r="C53" s="48" t="s">
        <v>47</v>
      </c>
    </row>
    <row r="54" spans="1:3" x14ac:dyDescent="0.25">
      <c r="A54" s="46" t="s">
        <v>48</v>
      </c>
      <c r="B54" s="47"/>
      <c r="C54" s="48" t="s">
        <v>49</v>
      </c>
    </row>
    <row r="55" spans="1:3" x14ac:dyDescent="0.25">
      <c r="A55" s="43" t="s">
        <v>50</v>
      </c>
      <c r="B55" s="44"/>
      <c r="C55" s="45"/>
    </row>
    <row r="56" spans="1:3" x14ac:dyDescent="0.25">
      <c r="B56" s="15"/>
    </row>
    <row r="57" spans="1:3" x14ac:dyDescent="0.25">
      <c r="A57" s="56" t="s">
        <v>51</v>
      </c>
      <c r="B57" s="57"/>
      <c r="C57" s="57"/>
    </row>
    <row r="58" spans="1:3" x14ac:dyDescent="0.25">
      <c r="A58" s="46" t="s">
        <v>52</v>
      </c>
      <c r="B58" s="47"/>
      <c r="C58" s="48"/>
    </row>
    <row r="59" spans="1:3" x14ac:dyDescent="0.25">
      <c r="A59" s="46" t="s">
        <v>53</v>
      </c>
      <c r="B59" s="47"/>
      <c r="C59" s="48"/>
    </row>
    <row r="60" spans="1:3" x14ac:dyDescent="0.25">
      <c r="A60" s="46" t="s">
        <v>54</v>
      </c>
      <c r="B60" s="47"/>
      <c r="C60" s="48"/>
    </row>
    <row r="61" spans="1:3" x14ac:dyDescent="0.25">
      <c r="A61" s="46" t="s">
        <v>55</v>
      </c>
      <c r="B61" s="47"/>
      <c r="C61" s="48"/>
    </row>
    <row r="62" spans="1:3" x14ac:dyDescent="0.25">
      <c r="A62" s="46" t="s">
        <v>56</v>
      </c>
      <c r="B62" s="47"/>
      <c r="C62" s="48"/>
    </row>
    <row r="63" spans="1:3" x14ac:dyDescent="0.25">
      <c r="A63" s="46" t="s">
        <v>57</v>
      </c>
      <c r="B63" s="47"/>
      <c r="C63" s="48"/>
    </row>
    <row r="64" spans="1:3" x14ac:dyDescent="0.25">
      <c r="A64" s="46" t="s">
        <v>58</v>
      </c>
      <c r="B64" s="47"/>
      <c r="C64" s="48"/>
    </row>
    <row r="65" spans="1:3" x14ac:dyDescent="0.25">
      <c r="A65" s="46" t="s">
        <v>59</v>
      </c>
      <c r="B65" s="47"/>
      <c r="C65" s="48" t="s">
        <v>60</v>
      </c>
    </row>
    <row r="66" spans="1:3" x14ac:dyDescent="0.25">
      <c r="A66" s="43" t="s">
        <v>61</v>
      </c>
      <c r="B66" s="44"/>
      <c r="C66" s="45" t="s">
        <v>62</v>
      </c>
    </row>
    <row r="67" spans="1:3" x14ac:dyDescent="0.25">
      <c r="B67" s="15"/>
    </row>
    <row r="68" spans="1:3" x14ac:dyDescent="0.25">
      <c r="A68" s="56" t="s">
        <v>63</v>
      </c>
      <c r="B68" s="57"/>
      <c r="C68" s="57"/>
    </row>
    <row r="69" spans="1:3" x14ac:dyDescent="0.25">
      <c r="A69" s="46" t="s">
        <v>52</v>
      </c>
      <c r="B69" s="47"/>
      <c r="C69" s="48"/>
    </row>
    <row r="70" spans="1:3" x14ac:dyDescent="0.25">
      <c r="A70" s="46" t="s">
        <v>53</v>
      </c>
      <c r="B70" s="47"/>
      <c r="C70" s="48"/>
    </row>
    <row r="71" spans="1:3" x14ac:dyDescent="0.25">
      <c r="A71" s="46" t="s">
        <v>54</v>
      </c>
      <c r="B71" s="47"/>
      <c r="C71" s="48"/>
    </row>
    <row r="72" spans="1:3" x14ac:dyDescent="0.25">
      <c r="A72" s="46" t="s">
        <v>55</v>
      </c>
      <c r="B72" s="47"/>
      <c r="C72" s="48"/>
    </row>
    <row r="73" spans="1:3" x14ac:dyDescent="0.25">
      <c r="A73" s="46" t="s">
        <v>56</v>
      </c>
      <c r="B73" s="47"/>
      <c r="C73" s="48"/>
    </row>
    <row r="74" spans="1:3" x14ac:dyDescent="0.25">
      <c r="A74" s="46" t="s">
        <v>57</v>
      </c>
      <c r="B74" s="47"/>
      <c r="C74" s="48"/>
    </row>
    <row r="75" spans="1:3" x14ac:dyDescent="0.25">
      <c r="A75" s="46" t="s">
        <v>58</v>
      </c>
      <c r="B75" s="47"/>
      <c r="C75" s="48"/>
    </row>
    <row r="76" spans="1:3" x14ac:dyDescent="0.25">
      <c r="A76" s="46" t="s">
        <v>59</v>
      </c>
      <c r="B76" s="47"/>
      <c r="C76" s="48" t="s">
        <v>60</v>
      </c>
    </row>
    <row r="77" spans="1:3" x14ac:dyDescent="0.25">
      <c r="A77" s="43" t="s">
        <v>61</v>
      </c>
      <c r="B77" s="44"/>
      <c r="C77" s="45" t="s">
        <v>62</v>
      </c>
    </row>
    <row r="78" spans="1:3" x14ac:dyDescent="0.25">
      <c r="B78" s="15"/>
    </row>
    <row r="79" spans="1:3" x14ac:dyDescent="0.25">
      <c r="A79" s="56" t="s">
        <v>64</v>
      </c>
      <c r="B79" s="57"/>
      <c r="C79" s="57"/>
    </row>
    <row r="80" spans="1:3" x14ac:dyDescent="0.25">
      <c r="A80" s="46" t="s">
        <v>52</v>
      </c>
      <c r="B80" s="47"/>
      <c r="C80" s="48"/>
    </row>
    <row r="81" spans="1:3" x14ac:dyDescent="0.25">
      <c r="A81" s="46" t="s">
        <v>53</v>
      </c>
      <c r="B81" s="47"/>
      <c r="C81" s="48"/>
    </row>
    <row r="82" spans="1:3" x14ac:dyDescent="0.25">
      <c r="A82" s="46" t="s">
        <v>54</v>
      </c>
      <c r="B82" s="47"/>
      <c r="C82" s="48"/>
    </row>
    <row r="83" spans="1:3" x14ac:dyDescent="0.25">
      <c r="A83" s="46" t="s">
        <v>55</v>
      </c>
      <c r="B83" s="47"/>
      <c r="C83" s="48"/>
    </row>
    <row r="84" spans="1:3" x14ac:dyDescent="0.25">
      <c r="A84" s="46" t="s">
        <v>56</v>
      </c>
      <c r="B84" s="47"/>
      <c r="C84" s="48"/>
    </row>
    <row r="85" spans="1:3" x14ac:dyDescent="0.25">
      <c r="A85" s="46" t="s">
        <v>57</v>
      </c>
      <c r="B85" s="47"/>
      <c r="C85" s="48"/>
    </row>
    <row r="86" spans="1:3" x14ac:dyDescent="0.25">
      <c r="A86" s="46" t="s">
        <v>58</v>
      </c>
      <c r="B86" s="47"/>
      <c r="C86" s="48"/>
    </row>
    <row r="87" spans="1:3" x14ac:dyDescent="0.25">
      <c r="A87" s="46" t="s">
        <v>59</v>
      </c>
      <c r="B87" s="47"/>
      <c r="C87" s="48" t="s">
        <v>60</v>
      </c>
    </row>
    <row r="88" spans="1:3" x14ac:dyDescent="0.25">
      <c r="A88" s="43" t="s">
        <v>61</v>
      </c>
      <c r="B88" s="44"/>
      <c r="C88" s="45" t="s">
        <v>62</v>
      </c>
    </row>
    <row r="89" spans="1:3" x14ac:dyDescent="0.25">
      <c r="B89" s="15"/>
    </row>
    <row r="90" spans="1:3" x14ac:dyDescent="0.25">
      <c r="A90" s="56" t="s">
        <v>273</v>
      </c>
      <c r="B90" s="57"/>
      <c r="C90" s="57"/>
    </row>
    <row r="91" spans="1:3" x14ac:dyDescent="0.25">
      <c r="A91" s="46" t="s">
        <v>147</v>
      </c>
      <c r="B91" s="47"/>
      <c r="C91" s="48"/>
    </row>
    <row r="92" spans="1:3" x14ac:dyDescent="0.25">
      <c r="A92" s="46" t="s">
        <v>270</v>
      </c>
      <c r="B92" s="47"/>
      <c r="C92" s="48" t="s">
        <v>277</v>
      </c>
    </row>
    <row r="93" spans="1:3" x14ac:dyDescent="0.25">
      <c r="A93" s="46" t="s">
        <v>271</v>
      </c>
      <c r="B93" s="47"/>
      <c r="C93" s="48"/>
    </row>
    <row r="94" spans="1:3" x14ac:dyDescent="0.25">
      <c r="A94" s="46" t="s">
        <v>272</v>
      </c>
      <c r="B94" s="47"/>
      <c r="C94" s="48"/>
    </row>
    <row r="95" spans="1:3" x14ac:dyDescent="0.25">
      <c r="A95" s="46" t="s">
        <v>148</v>
      </c>
      <c r="B95" s="47"/>
      <c r="C95" s="48" t="s">
        <v>149</v>
      </c>
    </row>
    <row r="96" spans="1:3" x14ac:dyDescent="0.25">
      <c r="A96" s="46" t="s">
        <v>150</v>
      </c>
      <c r="B96" s="47"/>
      <c r="C96" s="48"/>
    </row>
    <row r="97" spans="1:3" x14ac:dyDescent="0.25">
      <c r="A97" s="46" t="s">
        <v>151</v>
      </c>
      <c r="B97" s="47"/>
      <c r="C97" s="48"/>
    </row>
    <row r="98" spans="1:3" x14ac:dyDescent="0.25">
      <c r="A98" s="46" t="s">
        <v>152</v>
      </c>
      <c r="B98" s="47"/>
      <c r="C98" s="48" t="s">
        <v>153</v>
      </c>
    </row>
    <row r="99" spans="1:3" x14ac:dyDescent="0.25">
      <c r="A99" s="46" t="s">
        <v>154</v>
      </c>
      <c r="B99" s="47"/>
      <c r="C99" s="48" t="s">
        <v>155</v>
      </c>
    </row>
    <row r="100" spans="1:3" x14ac:dyDescent="0.25">
      <c r="A100" s="46" t="s">
        <v>156</v>
      </c>
      <c r="B100" s="47"/>
      <c r="C100" s="48"/>
    </row>
    <row r="101" spans="1:3" x14ac:dyDescent="0.25">
      <c r="A101" s="46" t="s">
        <v>157</v>
      </c>
      <c r="B101" s="47"/>
      <c r="C101" s="48"/>
    </row>
    <row r="102" spans="1:3" x14ac:dyDescent="0.25">
      <c r="A102" s="46" t="s">
        <v>158</v>
      </c>
      <c r="B102" s="47"/>
      <c r="C102" s="48" t="s">
        <v>159</v>
      </c>
    </row>
    <row r="103" spans="1:3" x14ac:dyDescent="0.25">
      <c r="A103" s="46" t="s">
        <v>160</v>
      </c>
      <c r="B103" s="47"/>
      <c r="C103" s="48"/>
    </row>
    <row r="104" spans="1:3" x14ac:dyDescent="0.25">
      <c r="A104" s="46" t="s">
        <v>161</v>
      </c>
      <c r="B104" s="47"/>
      <c r="C104" s="48"/>
    </row>
    <row r="105" spans="1:3" x14ac:dyDescent="0.25">
      <c r="A105" s="46" t="s">
        <v>162</v>
      </c>
      <c r="B105" s="52"/>
      <c r="C105" s="48" t="s">
        <v>163</v>
      </c>
    </row>
    <row r="106" spans="1:3" x14ac:dyDescent="0.25">
      <c r="A106" s="46" t="s">
        <v>164</v>
      </c>
      <c r="B106" s="52"/>
      <c r="C106" s="48" t="s">
        <v>165</v>
      </c>
    </row>
    <row r="107" spans="1:3" x14ac:dyDescent="0.25">
      <c r="A107" s="43" t="s">
        <v>166</v>
      </c>
      <c r="B107" s="50"/>
      <c r="C107" s="45" t="s">
        <v>167</v>
      </c>
    </row>
    <row r="109" spans="1:3" x14ac:dyDescent="0.25">
      <c r="A109" s="56" t="s">
        <v>187</v>
      </c>
      <c r="B109" s="57"/>
      <c r="C109" s="57"/>
    </row>
    <row r="110" spans="1:3" x14ac:dyDescent="0.25">
      <c r="A110" s="46" t="s">
        <v>188</v>
      </c>
      <c r="B110" s="47"/>
      <c r="C110" s="48"/>
    </row>
    <row r="111" spans="1:3" x14ac:dyDescent="0.25">
      <c r="A111" s="46" t="s">
        <v>189</v>
      </c>
      <c r="B111" s="47"/>
      <c r="C111" s="48"/>
    </row>
    <row r="112" spans="1:3" x14ac:dyDescent="0.25">
      <c r="A112" s="46" t="s">
        <v>190</v>
      </c>
      <c r="B112" s="47"/>
      <c r="C112" s="48"/>
    </row>
    <row r="113" spans="1:3" x14ac:dyDescent="0.25">
      <c r="A113" s="46" t="s">
        <v>191</v>
      </c>
      <c r="B113" s="47"/>
      <c r="C113" s="48"/>
    </row>
    <row r="114" spans="1:3" x14ac:dyDescent="0.25">
      <c r="A114" s="46" t="s">
        <v>192</v>
      </c>
      <c r="B114" s="47"/>
      <c r="C114" s="48"/>
    </row>
    <row r="115" spans="1:3" x14ac:dyDescent="0.25">
      <c r="A115" s="46" t="s">
        <v>193</v>
      </c>
      <c r="B115" s="47"/>
      <c r="C115" s="48"/>
    </row>
    <row r="116" spans="1:3" x14ac:dyDescent="0.25">
      <c r="A116" s="46" t="s">
        <v>194</v>
      </c>
      <c r="B116" s="47"/>
      <c r="C116" s="48"/>
    </row>
    <row r="117" spans="1:3" x14ac:dyDescent="0.25">
      <c r="A117" s="43" t="s">
        <v>195</v>
      </c>
      <c r="B117" s="44"/>
      <c r="C117" s="45"/>
    </row>
    <row r="119" spans="1:3" x14ac:dyDescent="0.25">
      <c r="A119" s="56" t="s">
        <v>196</v>
      </c>
      <c r="B119" s="57"/>
      <c r="C119" s="57"/>
    </row>
    <row r="120" spans="1:3" x14ac:dyDescent="0.25">
      <c r="A120" s="46" t="s">
        <v>197</v>
      </c>
      <c r="B120" s="51"/>
      <c r="C120" s="48" t="s">
        <v>167</v>
      </c>
    </row>
    <row r="121" spans="1:3" x14ac:dyDescent="0.25">
      <c r="A121" s="46" t="s">
        <v>198</v>
      </c>
      <c r="B121" s="47"/>
      <c r="C121" s="48" t="s">
        <v>199</v>
      </c>
    </row>
    <row r="122" spans="1:3" x14ac:dyDescent="0.25">
      <c r="A122" s="46" t="s">
        <v>200</v>
      </c>
      <c r="B122" s="47"/>
      <c r="C122" s="48" t="s">
        <v>201</v>
      </c>
    </row>
    <row r="123" spans="1:3" x14ac:dyDescent="0.25">
      <c r="A123" s="46" t="s">
        <v>202</v>
      </c>
      <c r="B123" s="51"/>
      <c r="C123" s="48" t="s">
        <v>167</v>
      </c>
    </row>
    <row r="124" spans="1:3" x14ac:dyDescent="0.25">
      <c r="A124" s="43" t="s">
        <v>203</v>
      </c>
      <c r="B124" s="44"/>
      <c r="C124" s="45" t="s">
        <v>204</v>
      </c>
    </row>
    <row r="126" spans="1:3" x14ac:dyDescent="0.25">
      <c r="A126" s="56" t="s">
        <v>205</v>
      </c>
      <c r="B126" s="57"/>
      <c r="C126" s="57"/>
    </row>
    <row r="127" spans="1:3" x14ac:dyDescent="0.25">
      <c r="A127" s="46" t="s">
        <v>206</v>
      </c>
      <c r="B127" s="47" t="s">
        <v>233</v>
      </c>
      <c r="C127" s="48" t="s">
        <v>207</v>
      </c>
    </row>
    <row r="128" spans="1:3" x14ac:dyDescent="0.25">
      <c r="A128" s="46" t="s">
        <v>208</v>
      </c>
      <c r="B128" s="47"/>
      <c r="C128" s="48" t="s">
        <v>209</v>
      </c>
    </row>
    <row r="129" spans="1:3" x14ac:dyDescent="0.25">
      <c r="A129" s="46" t="s">
        <v>210</v>
      </c>
      <c r="B129" s="47"/>
      <c r="C129" s="48"/>
    </row>
    <row r="130" spans="1:3" x14ac:dyDescent="0.25">
      <c r="A130" s="46" t="s">
        <v>211</v>
      </c>
      <c r="B130" s="47"/>
      <c r="C130" s="48" t="s">
        <v>212</v>
      </c>
    </row>
    <row r="131" spans="1:3" x14ac:dyDescent="0.25">
      <c r="A131" s="46" t="s">
        <v>213</v>
      </c>
      <c r="B131" s="47"/>
      <c r="C131" s="48" t="s">
        <v>214</v>
      </c>
    </row>
    <row r="132" spans="1:3" x14ac:dyDescent="0.25">
      <c r="A132" s="46" t="s">
        <v>215</v>
      </c>
      <c r="B132" s="47"/>
      <c r="C132" s="48" t="s">
        <v>216</v>
      </c>
    </row>
    <row r="133" spans="1:3" x14ac:dyDescent="0.25">
      <c r="A133" s="46" t="s">
        <v>217</v>
      </c>
      <c r="B133" s="47"/>
      <c r="C133" s="48" t="s">
        <v>218</v>
      </c>
    </row>
    <row r="134" spans="1:3" x14ac:dyDescent="0.25">
      <c r="A134" s="46" t="s">
        <v>219</v>
      </c>
      <c r="B134" s="47"/>
      <c r="C134" s="48" t="s">
        <v>220</v>
      </c>
    </row>
    <row r="135" spans="1:3" x14ac:dyDescent="0.25">
      <c r="A135" s="46" t="s">
        <v>221</v>
      </c>
      <c r="B135" s="51"/>
      <c r="C135" s="48" t="s">
        <v>222</v>
      </c>
    </row>
    <row r="136" spans="1:3" x14ac:dyDescent="0.25">
      <c r="A136" s="46" t="s">
        <v>223</v>
      </c>
      <c r="B136" s="47"/>
      <c r="C136" s="48" t="s">
        <v>224</v>
      </c>
    </row>
    <row r="137" spans="1:3" x14ac:dyDescent="0.25">
      <c r="A137" s="46" t="s">
        <v>225</v>
      </c>
      <c r="B137" s="47"/>
      <c r="C137" s="48" t="s">
        <v>226</v>
      </c>
    </row>
    <row r="138" spans="1:3" x14ac:dyDescent="0.25">
      <c r="A138" s="46" t="s">
        <v>227</v>
      </c>
      <c r="B138" s="47"/>
      <c r="C138" s="48" t="s">
        <v>228</v>
      </c>
    </row>
    <row r="139" spans="1:3" x14ac:dyDescent="0.25">
      <c r="A139" s="46" t="s">
        <v>229</v>
      </c>
      <c r="B139" s="47"/>
      <c r="C139" s="48" t="s">
        <v>230</v>
      </c>
    </row>
    <row r="140" spans="1:3" x14ac:dyDescent="0.25">
      <c r="A140" s="46" t="s">
        <v>231</v>
      </c>
      <c r="B140" s="47"/>
      <c r="C140" s="48"/>
    </row>
    <row r="141" spans="1:3" x14ac:dyDescent="0.25">
      <c r="A141" s="43" t="s">
        <v>232</v>
      </c>
      <c r="B141" s="44"/>
      <c r="C141" s="45"/>
    </row>
  </sheetData>
  <mergeCells count="13">
    <mergeCell ref="A109:C109"/>
    <mergeCell ref="A119:C119"/>
    <mergeCell ref="A126:C126"/>
    <mergeCell ref="A1:C1"/>
    <mergeCell ref="A15:C15"/>
    <mergeCell ref="A33:C33"/>
    <mergeCell ref="A3:C3"/>
    <mergeCell ref="A23:C23"/>
    <mergeCell ref="A90:C90"/>
    <mergeCell ref="A79:C79"/>
    <mergeCell ref="A57:C57"/>
    <mergeCell ref="A43:C43"/>
    <mergeCell ref="A68:C68"/>
  </mergeCells>
  <dataValidations count="3">
    <dataValidation type="list" allowBlank="1" errorTitle="Typologie" error="Mets X ou laisse vide" sqref="B24:B30 B34:B40" xr:uid="{00000000-0002-0000-0000-000000000000}">
      <formula1>"X"</formula1>
    </dataValidation>
    <dataValidation type="list" allowBlank="1" sqref="B31 B41" xr:uid="{00000000-0002-0000-0000-000001000000}">
      <formula1>"Oxygène médicinal,Protoxyde d’azote,Air médicinal,Autre"</formula1>
    </dataValidation>
    <dataValidation type="list" allowBlank="1" sqref="B66 B77 B88" xr:uid="{00000000-0002-0000-0000-000002000000}">
      <formula1>"oui,non"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BS2"/>
  <sheetViews>
    <sheetView workbookViewId="0"/>
  </sheetViews>
  <sheetFormatPr baseColWidth="10" defaultColWidth="9.140625" defaultRowHeight="15" x14ac:dyDescent="0.25"/>
  <cols>
    <col min="1" max="33" width="18" customWidth="1"/>
  </cols>
  <sheetData>
    <row r="1" spans="1:71" x14ac:dyDescent="0.25">
      <c r="A1" s="1" t="s">
        <v>5</v>
      </c>
      <c r="B1" s="1" t="s">
        <v>6</v>
      </c>
      <c r="C1" s="1" t="s">
        <v>65</v>
      </c>
      <c r="D1" s="1" t="s">
        <v>8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71</v>
      </c>
      <c r="K1" s="1" t="s">
        <v>72</v>
      </c>
      <c r="L1" s="1" t="s">
        <v>73</v>
      </c>
      <c r="M1" s="1" t="s">
        <v>74</v>
      </c>
      <c r="N1" s="1" t="s">
        <v>75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80</v>
      </c>
      <c r="T1" s="1" t="s">
        <v>81</v>
      </c>
      <c r="U1" s="1" t="s">
        <v>82</v>
      </c>
      <c r="V1" s="1" t="s">
        <v>83</v>
      </c>
      <c r="W1" s="1" t="s">
        <v>84</v>
      </c>
      <c r="X1" s="1" t="s">
        <v>85</v>
      </c>
      <c r="Y1" s="1" t="s">
        <v>86</v>
      </c>
      <c r="Z1" s="1" t="s">
        <v>87</v>
      </c>
      <c r="AA1" s="1" t="s">
        <v>88</v>
      </c>
      <c r="AB1" s="1" t="s">
        <v>89</v>
      </c>
      <c r="AC1" s="1" t="s">
        <v>90</v>
      </c>
      <c r="AD1" s="1" t="s">
        <v>91</v>
      </c>
      <c r="AE1" s="1" t="s">
        <v>92</v>
      </c>
      <c r="AF1" s="1" t="s">
        <v>93</v>
      </c>
      <c r="AG1" s="1" t="s">
        <v>94</v>
      </c>
      <c r="AH1" s="14" t="s">
        <v>145</v>
      </c>
      <c r="AI1" s="14" t="s">
        <v>168</v>
      </c>
      <c r="AJ1" s="14" t="s">
        <v>169</v>
      </c>
      <c r="AK1" s="14" t="s">
        <v>170</v>
      </c>
      <c r="AL1" s="14" t="s">
        <v>171</v>
      </c>
      <c r="AM1" s="14" t="s">
        <v>172</v>
      </c>
      <c r="AN1" s="14" t="s">
        <v>173</v>
      </c>
      <c r="AO1" s="14" t="s">
        <v>174</v>
      </c>
      <c r="AP1" s="14" t="s">
        <v>175</v>
      </c>
      <c r="AQ1" s="14" t="s">
        <v>176</v>
      </c>
      <c r="AR1" s="14" t="s">
        <v>177</v>
      </c>
      <c r="AS1" s="14" t="s">
        <v>178</v>
      </c>
      <c r="AT1" s="14" t="s">
        <v>179</v>
      </c>
      <c r="AU1" s="14" t="s">
        <v>180</v>
      </c>
      <c r="AV1" s="14" t="s">
        <v>181</v>
      </c>
      <c r="AW1" s="14" t="s">
        <v>182</v>
      </c>
      <c r="AX1" s="14" t="s">
        <v>183</v>
      </c>
      <c r="AY1" s="14" t="s">
        <v>184</v>
      </c>
      <c r="AZ1" s="14" t="s">
        <v>185</v>
      </c>
      <c r="BA1" s="14" t="s">
        <v>186</v>
      </c>
      <c r="BB1" s="14" t="s">
        <v>234</v>
      </c>
      <c r="BC1" s="14" t="s">
        <v>235</v>
      </c>
      <c r="BD1" s="14" t="s">
        <v>236</v>
      </c>
      <c r="BE1" s="14" t="s">
        <v>237</v>
      </c>
      <c r="BF1" s="14" t="s">
        <v>238</v>
      </c>
      <c r="BG1" s="14" t="s">
        <v>239</v>
      </c>
      <c r="BH1" s="14" t="s">
        <v>240</v>
      </c>
      <c r="BI1" s="14" t="s">
        <v>241</v>
      </c>
      <c r="BJ1" s="14" t="s">
        <v>242</v>
      </c>
      <c r="BK1" s="14" t="s">
        <v>243</v>
      </c>
      <c r="BL1" s="14" t="s">
        <v>244</v>
      </c>
      <c r="BM1" s="14" t="s">
        <v>245</v>
      </c>
      <c r="BN1" s="14" t="s">
        <v>246</v>
      </c>
      <c r="BO1" s="14" t="s">
        <v>259</v>
      </c>
      <c r="BP1" s="14" t="s">
        <v>274</v>
      </c>
      <c r="BQ1" s="14" t="s">
        <v>275</v>
      </c>
      <c r="BR1" s="14" t="s">
        <v>276</v>
      </c>
      <c r="BS1" s="14" t="s">
        <v>278</v>
      </c>
    </row>
    <row r="2" spans="1:71" x14ac:dyDescent="0.25">
      <c r="A2" t="str">
        <f>Saisie!$B$4&amp;""</f>
        <v/>
      </c>
      <c r="B2" t="str">
        <f>Saisie!$B$5&amp;""</f>
        <v/>
      </c>
      <c r="C2" t="str">
        <f>Saisie!$B$6&amp;""</f>
        <v/>
      </c>
      <c r="D2" t="str">
        <f>Saisie!$B$7&amp;""</f>
        <v/>
      </c>
      <c r="E2" t="str">
        <f>TRIM(Saisie!$B$6&amp;" "&amp;Saisie!$B$7)</f>
        <v/>
      </c>
      <c r="F2" t="str">
        <f>Saisie!$B$8&amp;""</f>
        <v/>
      </c>
      <c r="G2" t="str">
        <f>Saisie!$B$9&amp;""</f>
        <v/>
      </c>
      <c r="H2" t="str">
        <f>Saisie!$B$10&amp;""</f>
        <v/>
      </c>
      <c r="I2" t="str">
        <f>Saisie!$B$11&amp;""</f>
        <v/>
      </c>
      <c r="J2" t="str">
        <f>Saisie!$B$12&amp;""</f>
        <v/>
      </c>
      <c r="K2" t="str">
        <f>Saisie!$B$16&amp;""</f>
        <v/>
      </c>
      <c r="L2" t="str">
        <f>Saisie!$B$17&amp;""</f>
        <v/>
      </c>
      <c r="M2" t="str">
        <f>Saisie!$B$18&amp;""</f>
        <v/>
      </c>
      <c r="N2" t="str">
        <f>IF(Saisie!$B$20&lt;&gt;"",Saisie!$B$20&amp;"",Saisie!$B$17&amp;"")</f>
        <v/>
      </c>
      <c r="O2" t="str">
        <f>IF(Saisie!$B$21&lt;&gt;"",Saisie!$B$21&amp;"",Saisie!$B$18&amp;"")</f>
        <v/>
      </c>
      <c r="P2" t="str">
        <f>Saisie!$B$24&amp;""</f>
        <v/>
      </c>
      <c r="Q2" t="str">
        <f>Saisie!$B$25&amp;""</f>
        <v/>
      </c>
      <c r="R2" t="str">
        <f>Saisie!$B$26&amp;""</f>
        <v/>
      </c>
      <c r="S2" t="str">
        <f>Saisie!$B$27&amp;""</f>
        <v/>
      </c>
      <c r="T2" t="str">
        <f>Saisie!$B$28&amp;""</f>
        <v/>
      </c>
      <c r="U2" t="str">
        <f>Saisie!$B$29&amp;""</f>
        <v/>
      </c>
      <c r="V2" t="str">
        <f>Saisie!$B$30&amp;""</f>
        <v/>
      </c>
      <c r="W2" t="str">
        <f>Saisie!$B$31&amp;""</f>
        <v>Oxygène médicinal</v>
      </c>
      <c r="X2" t="str">
        <f>IF(Saisie!$B$31="","","X")</f>
        <v>X</v>
      </c>
      <c r="Y2" t="str">
        <f>Saisie!$B$34&amp;""</f>
        <v/>
      </c>
      <c r="Z2" t="str">
        <f>Saisie!$B$35&amp;""</f>
        <v/>
      </c>
      <c r="AA2" t="str">
        <f>Saisie!$B$36&amp;""</f>
        <v/>
      </c>
      <c r="AB2" t="str">
        <f>Saisie!$B$37&amp;""</f>
        <v/>
      </c>
      <c r="AC2" t="str">
        <f>Saisie!$B$38&amp;""</f>
        <v/>
      </c>
      <c r="AD2" t="str">
        <f>Saisie!$B$39&amp;""</f>
        <v/>
      </c>
      <c r="AE2" t="str">
        <f>Saisie!$B$40&amp;""</f>
        <v/>
      </c>
      <c r="AF2" t="str">
        <f>Saisie!$B$41&amp;""</f>
        <v>Oxygène médicinal</v>
      </c>
      <c r="AG2" t="str">
        <f>IF(Saisie!$B$41="","","X")</f>
        <v>X</v>
      </c>
      <c r="AH2" t="str">
        <f>Saisie!$B$13&amp;""</f>
        <v>929824</v>
      </c>
      <c r="AI2" t="str">
        <f>IF(Saisie!$B$47&lt;&gt;"",Saisie!$B$47&amp;"",IF(Saisie!$B$24="X","LLL",IF(Saisie!$B$25="X","LLG",IF(Saisie!$B$26="X","LGG",IF(Saisie!$B$27="X","GGG",IF(Saisie!$B$28="X","MESS'AIR",IF(Saisie!$B$29="X","MESS-VAC","")))))))</f>
        <v/>
      </c>
      <c r="AJ2" t="str">
        <f>Saisie!$B$91&amp;""</f>
        <v/>
      </c>
      <c r="AK2" t="str">
        <f>Saisie!$B$95&amp;""</f>
        <v/>
      </c>
      <c r="AL2" t="str">
        <f>Saisie!$B$96&amp;""</f>
        <v/>
      </c>
      <c r="AM2" t="str">
        <f>Saisie!$B$97&amp;""</f>
        <v/>
      </c>
      <c r="AN2" t="str">
        <f>Saisie!$B$98&amp;""</f>
        <v/>
      </c>
      <c r="AO2" t="str">
        <f>Saisie!$B$99&amp;""</f>
        <v/>
      </c>
      <c r="AP2" t="str">
        <f>Saisie!$B$100&amp;""</f>
        <v/>
      </c>
      <c r="AQ2" t="str">
        <f>Saisie!$B$101&amp;""</f>
        <v/>
      </c>
      <c r="AR2" t="str">
        <f>IF(Saisie!$B$102&lt;&gt;"",Saisie!$B$102&amp;"",Saisie!$B$48&amp;"")</f>
        <v/>
      </c>
      <c r="AS2" t="str">
        <f>Saisie!$B$103&amp;""</f>
        <v/>
      </c>
      <c r="AT2" t="str">
        <f>Saisie!$B$104&amp;""</f>
        <v/>
      </c>
      <c r="AU2" t="str">
        <f>Saisie!$B$105&amp;""</f>
        <v/>
      </c>
      <c r="AV2" t="str">
        <f>IFERROR(ROUND(VALUE(SUBSTITUTE(SUBSTITUTE(Saisie!$B$105&amp;""," ",""),CHAR(160),""))/365,0)&amp;"","")</f>
        <v/>
      </c>
      <c r="AW2" t="str">
        <f>Saisie!$B$106&amp;""</f>
        <v/>
      </c>
      <c r="AX2" t="str">
        <f>IF(Saisie!$B$107="","",IF(ISNUMBER(Saisie!$B$107),RIGHT("0"&amp;DAY(Saisie!$B$107),2)&amp;"/"&amp;RIGHT("0"&amp;MONTH(Saisie!$B$107),2)&amp;"/"&amp;YEAR(Saisie!$B$107),Saisie!$B$107&amp;""))</f>
        <v/>
      </c>
      <c r="AY2" t="str">
        <f>Saisie!$B$16&amp;IF(AND(Saisie!$B$16&lt;&gt;"",Saisie!$B$17&lt;&gt;"")," + ","")&amp;Saisie!$B$17&amp;IF(AND(Saisie!$B$16&amp;Saisie!$B$17&lt;&gt;"",Saisie!$B$18&lt;&gt;"")," + ","")&amp;Saisie!$B$18</f>
        <v/>
      </c>
      <c r="AZ2" t="str">
        <f>IF(TRIM(AI2&amp;AY2&amp;AU2)="","","Installation "&amp;TRIM(AI2&amp;" "&amp;AY2)&amp;IF(AU2&lt;&gt;"","  "&amp;AU2&amp;" m3/an    soit environ "&amp;AV2&amp;" m3/J",""))</f>
        <v/>
      </c>
      <c r="BA2" t="str">
        <f>IF(AW2="","","Contrat durée "&amp;AW2&amp;" ans"&amp;IF(AX2&lt;&gt;""," à compter du "&amp;AX2,""))</f>
        <v/>
      </c>
      <c r="BB2" t="str">
        <f>Saisie!$B$110&amp;""</f>
        <v/>
      </c>
      <c r="BC2" t="str">
        <f>Saisie!$B$111&amp;""</f>
        <v/>
      </c>
      <c r="BD2" t="str">
        <f>Saisie!$B$112&amp;""</f>
        <v/>
      </c>
      <c r="BE2" t="str">
        <f>Saisie!$B$113&amp;""</f>
        <v/>
      </c>
      <c r="BF2" t="str">
        <f>Saisie!$B$114&amp;""</f>
        <v/>
      </c>
      <c r="BG2" t="str">
        <f>Saisie!$B$115&amp;""</f>
        <v/>
      </c>
      <c r="BH2" t="str">
        <f>Saisie!$B$116&amp;""</f>
        <v/>
      </c>
      <c r="BI2" t="str">
        <f>Saisie!$B$117&amp;""</f>
        <v/>
      </c>
      <c r="BJ2" t="str">
        <f>IF(Saisie!$B$120="","",IF(ISNUMBER(Saisie!$B$120),RIGHT("0"&amp;DAY(Saisie!$B$120),2)&amp;"/"&amp;RIGHT("0"&amp;MONTH(Saisie!$B$120),2)&amp;"/"&amp;YEAR(Saisie!$B$120),Saisie!$B$120&amp;""))</f>
        <v/>
      </c>
      <c r="BK2" t="str">
        <f>Saisie!$B$121&amp;""</f>
        <v/>
      </c>
      <c r="BL2" t="str">
        <f>IF(Saisie!$B$122&lt;&gt;"",Saisie!$B$122&amp;"",TRIM(AI2&amp;" "&amp;AY2))</f>
        <v/>
      </c>
      <c r="BM2" t="str">
        <f>IF(Saisie!$B$123="","",IF(ISNUMBER(Saisie!$B$123),RIGHT("0"&amp;DAY(Saisie!$B$123),2)&amp;"/"&amp;RIGHT("0"&amp;MONTH(Saisie!$B$123),2)&amp;"/"&amp;YEAR(Saisie!$B$123),Saisie!$B$123&amp;""))</f>
        <v/>
      </c>
      <c r="BN2" t="str">
        <f>Saisie!$B$124&amp;""</f>
        <v/>
      </c>
      <c r="BO2" t="str">
        <f>IF(Saisie!$B$19&lt;&gt;"",Saisie!$B$19&amp;"",Saisie!$B$16&amp;"")</f>
        <v/>
      </c>
      <c r="BP2" t="str">
        <f>Saisie!$B$92&amp;""</f>
        <v/>
      </c>
      <c r="BQ2" t="str">
        <f>Saisie!$B$93&amp;""</f>
        <v/>
      </c>
      <c r="BR2" t="str">
        <f>Saisie!$B$94&amp;""</f>
        <v/>
      </c>
      <c r="BS2" t="str">
        <f>Saisie!$B$131&amp;""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44"/>
  <sheetViews>
    <sheetView workbookViewId="0">
      <selection activeCell="K13" sqref="K13"/>
    </sheetView>
  </sheetViews>
  <sheetFormatPr baseColWidth="10" defaultColWidth="9.140625" defaultRowHeight="15" x14ac:dyDescent="0.25"/>
  <cols>
    <col min="1" max="1" width="21.42578125" customWidth="1"/>
    <col min="2" max="2" width="7.5703125" customWidth="1"/>
    <col min="3" max="3" width="1.85546875" customWidth="1"/>
    <col min="4" max="4" width="10.5703125" customWidth="1"/>
    <col min="5" max="5" width="19.85546875" customWidth="1"/>
    <col min="6" max="6" width="23.5703125" customWidth="1"/>
    <col min="7" max="7" width="14.140625" customWidth="1"/>
  </cols>
  <sheetData>
    <row r="1" spans="1:7" ht="72.75" customHeight="1" x14ac:dyDescent="0.25"/>
    <row r="2" spans="1:7" x14ac:dyDescent="0.25">
      <c r="A2" t="s">
        <v>95</v>
      </c>
      <c r="B2" s="60" t="str">
        <f>IF(Saisie!$B$4="","",Saisie!$B$4)</f>
        <v/>
      </c>
      <c r="C2" s="61"/>
      <c r="D2" s="61"/>
      <c r="E2" s="61"/>
      <c r="F2" t="s">
        <v>96</v>
      </c>
      <c r="G2" s="4" t="str">
        <f>IF(Saisie!$B$44="","",Saisie!$B$44)</f>
        <v/>
      </c>
    </row>
    <row r="3" spans="1:7" x14ac:dyDescent="0.25">
      <c r="A3" t="s">
        <v>6</v>
      </c>
      <c r="B3" s="5" t="str">
        <f>IF(Saisie!$B$5="","",Saisie!$B$5)</f>
        <v/>
      </c>
      <c r="C3" s="5"/>
      <c r="D3" s="5"/>
      <c r="E3" s="5"/>
      <c r="F3" t="s">
        <v>97</v>
      </c>
      <c r="G3" s="4" t="str">
        <f>IF(Saisie!$B$45="","",Saisie!$B$45)</f>
        <v/>
      </c>
    </row>
    <row r="4" spans="1:7" ht="12" customHeight="1" x14ac:dyDescent="0.25">
      <c r="B4" s="6"/>
      <c r="C4" s="6"/>
      <c r="D4" s="6"/>
      <c r="E4" s="6"/>
      <c r="F4" s="7" t="s">
        <v>98</v>
      </c>
    </row>
    <row r="5" spans="1:7" x14ac:dyDescent="0.25">
      <c r="A5" s="8" t="s">
        <v>99</v>
      </c>
      <c r="B5" s="5" t="str">
        <f>IF(Saisie!$B$6="","",Saisie!$B$6)</f>
        <v/>
      </c>
      <c r="C5" s="6"/>
      <c r="D5" s="6"/>
      <c r="E5" s="6"/>
      <c r="F5" s="7"/>
    </row>
    <row r="6" spans="1:7" x14ac:dyDescent="0.25">
      <c r="A6" t="s">
        <v>100</v>
      </c>
      <c r="B6" s="9" t="str">
        <f>IF(Saisie!$B$7="","",Saisie!$B$7)</f>
        <v/>
      </c>
      <c r="C6" s="5"/>
      <c r="D6" s="5"/>
      <c r="E6" s="5"/>
    </row>
    <row r="7" spans="1:7" x14ac:dyDescent="0.25">
      <c r="A7" s="10" t="s">
        <v>101</v>
      </c>
      <c r="B7" s="10"/>
      <c r="C7" s="10"/>
      <c r="D7" s="10"/>
      <c r="E7" s="10"/>
      <c r="F7" s="10"/>
      <c r="G7" s="10"/>
    </row>
    <row r="8" spans="1:7" x14ac:dyDescent="0.25">
      <c r="A8" t="s">
        <v>102</v>
      </c>
      <c r="B8" s="62" t="str">
        <f>IF(Saisie!$B$46="","",Saisie!$B$46)</f>
        <v/>
      </c>
      <c r="C8" s="61"/>
      <c r="D8" s="61"/>
      <c r="E8" s="61"/>
    </row>
    <row r="9" spans="1:7" x14ac:dyDescent="0.25">
      <c r="A9" t="s">
        <v>103</v>
      </c>
      <c r="B9" s="60" t="str">
        <f>IF(Saisie!$B$47="","",Saisie!$B$47)</f>
        <v/>
      </c>
      <c r="C9" s="61"/>
      <c r="D9" s="61"/>
      <c r="E9" s="61"/>
      <c r="F9" t="s">
        <v>104</v>
      </c>
      <c r="G9" s="5" t="str">
        <f>IF(Saisie!$B$52="","",Saisie!$B$52)</f>
        <v/>
      </c>
    </row>
    <row r="10" spans="1:7" x14ac:dyDescent="0.25">
      <c r="A10" t="s">
        <v>105</v>
      </c>
      <c r="B10" s="60" t="str">
        <f>IF(Saisie!$B$48="","",Saisie!$B$48)</f>
        <v/>
      </c>
      <c r="C10" s="61"/>
      <c r="D10" s="61"/>
      <c r="E10" s="61"/>
      <c r="F10" t="s">
        <v>106</v>
      </c>
      <c r="G10" s="5" t="str">
        <f>IF(Saisie!$B$53="","",Saisie!$B$53)</f>
        <v/>
      </c>
    </row>
    <row r="11" spans="1:7" x14ac:dyDescent="0.25">
      <c r="A11" t="s">
        <v>107</v>
      </c>
      <c r="B11" s="62" t="str">
        <f>IF(Saisie!$B$49="","",Saisie!$B$49)</f>
        <v/>
      </c>
      <c r="C11" s="61"/>
      <c r="D11" s="61"/>
      <c r="E11" s="61"/>
      <c r="F11" t="s">
        <v>108</v>
      </c>
      <c r="G11" s="5" t="str">
        <f>IF(Saisie!$B$54="","",Saisie!$B$54)</f>
        <v/>
      </c>
    </row>
    <row r="12" spans="1:7" x14ac:dyDescent="0.25">
      <c r="A12" t="s">
        <v>109</v>
      </c>
      <c r="B12" s="12" t="str">
        <f>IF(Saisie!$B$50="","",Saisie!$B$50)</f>
        <v/>
      </c>
      <c r="C12" s="13"/>
      <c r="D12" s="12"/>
      <c r="F12" t="s">
        <v>50</v>
      </c>
      <c r="G12" s="5" t="str">
        <f>IF(Saisie!$B$55="","",Saisie!$B$55)</f>
        <v/>
      </c>
    </row>
    <row r="13" spans="1:7" x14ac:dyDescent="0.25">
      <c r="A13" t="s">
        <v>110</v>
      </c>
      <c r="B13" s="60" t="str">
        <f>IF(Saisie!$B$51="","",Saisie!$B$51)</f>
        <v/>
      </c>
      <c r="C13" s="61"/>
      <c r="D13" s="61"/>
      <c r="E13" s="61"/>
    </row>
    <row r="14" spans="1:7" x14ac:dyDescent="0.25">
      <c r="B14" s="61"/>
      <c r="C14" s="61"/>
      <c r="D14" s="61"/>
      <c r="E14" s="61"/>
    </row>
    <row r="15" spans="1:7" x14ac:dyDescent="0.25">
      <c r="A15" s="10" t="s">
        <v>111</v>
      </c>
      <c r="B15" s="10"/>
      <c r="C15" s="10"/>
      <c r="D15" s="10"/>
      <c r="E15" s="10"/>
      <c r="F15" s="10"/>
      <c r="G15" s="10"/>
    </row>
    <row r="16" spans="1:7" x14ac:dyDescent="0.25">
      <c r="A16" t="s">
        <v>112</v>
      </c>
      <c r="B16" s="60" t="str">
        <f>IF(Saisie!$B$58="","",Saisie!$B$58)</f>
        <v/>
      </c>
      <c r="C16" s="61"/>
      <c r="D16" s="61"/>
      <c r="E16" s="61"/>
    </row>
    <row r="17" spans="1:5" x14ac:dyDescent="0.25">
      <c r="A17" t="s">
        <v>113</v>
      </c>
      <c r="B17" s="60" t="str">
        <f>IF(Saisie!$B$59="","",Saisie!$B$59)</f>
        <v/>
      </c>
      <c r="C17" s="61"/>
      <c r="D17" s="61"/>
      <c r="E17" s="61"/>
    </row>
    <row r="18" spans="1:5" x14ac:dyDescent="0.25">
      <c r="A18" t="s">
        <v>114</v>
      </c>
      <c r="B18" s="64" t="str">
        <f>IF(Saisie!$B$60="","",Saisie!$B$60)</f>
        <v/>
      </c>
      <c r="C18" s="61"/>
      <c r="D18" s="61"/>
      <c r="E18" s="61"/>
    </row>
    <row r="19" spans="1:5" x14ac:dyDescent="0.25">
      <c r="A19" t="s">
        <v>105</v>
      </c>
      <c r="B19" s="60" t="str">
        <f>IF(Saisie!$B$61="","",Saisie!$B$61)</f>
        <v/>
      </c>
      <c r="C19" s="61"/>
      <c r="D19" s="61"/>
      <c r="E19" s="61"/>
    </row>
    <row r="20" spans="1:5" x14ac:dyDescent="0.25">
      <c r="A20" t="s">
        <v>115</v>
      </c>
      <c r="B20" s="3" t="str">
        <f>IF(Saisie!$B$62="","",Saisie!$B$62)</f>
        <v/>
      </c>
      <c r="C20" s="3"/>
      <c r="D20" s="3"/>
      <c r="E20" s="3"/>
    </row>
    <row r="21" spans="1:5" x14ac:dyDescent="0.25">
      <c r="A21" t="s">
        <v>116</v>
      </c>
      <c r="B21" s="62" t="str">
        <f>IF(Saisie!$B$63="","",Saisie!$B$63)</f>
        <v/>
      </c>
      <c r="C21" s="61"/>
      <c r="D21" s="61"/>
      <c r="E21" s="61"/>
    </row>
    <row r="22" spans="1:5" x14ac:dyDescent="0.25">
      <c r="A22" t="s">
        <v>117</v>
      </c>
      <c r="B22" s="62" t="str">
        <f>IF(Saisie!$B$64="","",Saisie!$B$64)</f>
        <v/>
      </c>
      <c r="C22" s="61"/>
      <c r="D22" s="61"/>
      <c r="E22" s="61"/>
    </row>
    <row r="23" spans="1:5" x14ac:dyDescent="0.25">
      <c r="A23" t="s">
        <v>118</v>
      </c>
      <c r="B23" s="62" t="str">
        <f>IF(Saisie!$B$65="","",Saisie!$B$65)</f>
        <v/>
      </c>
      <c r="C23" s="61"/>
      <c r="D23" s="61"/>
      <c r="E23" s="61"/>
    </row>
    <row r="24" spans="1:5" x14ac:dyDescent="0.25">
      <c r="A24" t="s">
        <v>119</v>
      </c>
      <c r="B24" s="11" t="str">
        <f>IF(Saisie!$B$66="","",Saisie!$B$66)</f>
        <v/>
      </c>
      <c r="C24" s="11"/>
      <c r="D24" s="11"/>
      <c r="E24" s="11"/>
    </row>
    <row r="25" spans="1:5" x14ac:dyDescent="0.25">
      <c r="B25" s="62"/>
      <c r="C25" s="61"/>
      <c r="D25" s="61"/>
      <c r="E25" s="61"/>
    </row>
    <row r="26" spans="1:5" x14ac:dyDescent="0.25">
      <c r="A26" t="s">
        <v>112</v>
      </c>
      <c r="B26" s="60" t="str">
        <f>IF(Saisie!$B$69="","",Saisie!$B$69)</f>
        <v/>
      </c>
      <c r="C26" s="61"/>
      <c r="D26" s="61"/>
      <c r="E26" s="61"/>
    </row>
    <row r="27" spans="1:5" ht="15" customHeight="1" x14ac:dyDescent="0.25">
      <c r="A27" t="s">
        <v>113</v>
      </c>
      <c r="B27" s="60" t="str">
        <f>IF(Saisie!$B$70="","",Saisie!$B$70)</f>
        <v/>
      </c>
      <c r="C27" s="61"/>
      <c r="D27" s="61"/>
      <c r="E27" s="61"/>
    </row>
    <row r="28" spans="1:5" x14ac:dyDescent="0.25">
      <c r="A28" t="s">
        <v>114</v>
      </c>
      <c r="B28" s="64" t="str">
        <f>IF(Saisie!$B$71="","",Saisie!$B$71)</f>
        <v/>
      </c>
      <c r="C28" s="61"/>
      <c r="D28" s="61"/>
      <c r="E28" s="61"/>
    </row>
    <row r="29" spans="1:5" x14ac:dyDescent="0.25">
      <c r="A29" t="s">
        <v>105</v>
      </c>
      <c r="B29" s="60" t="str">
        <f>IF(Saisie!$B$72="","",Saisie!$B$72)</f>
        <v/>
      </c>
      <c r="C29" s="61"/>
      <c r="D29" s="61"/>
      <c r="E29" s="61"/>
    </row>
    <row r="30" spans="1:5" x14ac:dyDescent="0.25">
      <c r="A30" t="s">
        <v>115</v>
      </c>
      <c r="B30" s="3" t="str">
        <f>IF(Saisie!$B$73="","",Saisie!$B$73)</f>
        <v/>
      </c>
      <c r="C30" s="3"/>
      <c r="D30" s="3"/>
      <c r="E30" s="3"/>
    </row>
    <row r="31" spans="1:5" x14ac:dyDescent="0.25">
      <c r="A31" t="s">
        <v>116</v>
      </c>
      <c r="B31" s="63" t="str">
        <f>IF(Saisie!$B$74="","",Saisie!$B$74)</f>
        <v/>
      </c>
      <c r="C31" s="61"/>
      <c r="D31" s="61"/>
      <c r="E31" s="61"/>
    </row>
    <row r="32" spans="1:5" x14ac:dyDescent="0.25">
      <c r="A32" t="s">
        <v>117</v>
      </c>
      <c r="B32" s="62" t="str">
        <f>IF(Saisie!$B$75="","",Saisie!$B$75)</f>
        <v/>
      </c>
      <c r="C32" s="61"/>
      <c r="D32" s="61"/>
      <c r="E32" s="61"/>
    </row>
    <row r="33" spans="1:5" x14ac:dyDescent="0.25">
      <c r="A33" t="s">
        <v>118</v>
      </c>
      <c r="B33" s="62" t="str">
        <f>IF(Saisie!$B$76="","",Saisie!$B$76)</f>
        <v/>
      </c>
      <c r="C33" s="61"/>
      <c r="D33" s="61"/>
      <c r="E33" s="61"/>
    </row>
    <row r="34" spans="1:5" x14ac:dyDescent="0.25">
      <c r="A34" t="s">
        <v>119</v>
      </c>
      <c r="B34" s="11" t="str">
        <f>IF(Saisie!$B$77="","",Saisie!$B$77)</f>
        <v/>
      </c>
      <c r="C34" s="11"/>
      <c r="D34" s="11"/>
      <c r="E34" s="11"/>
    </row>
    <row r="35" spans="1:5" x14ac:dyDescent="0.25">
      <c r="B35" s="11"/>
      <c r="C35" s="11"/>
      <c r="D35" s="11"/>
      <c r="E35" s="11"/>
    </row>
    <row r="36" spans="1:5" x14ac:dyDescent="0.25">
      <c r="A36" t="s">
        <v>112</v>
      </c>
      <c r="B36" s="60" t="str">
        <f>IF(Saisie!$B$80="","",Saisie!$B$80)</f>
        <v/>
      </c>
      <c r="C36" s="61"/>
      <c r="D36" s="61"/>
      <c r="E36" s="61"/>
    </row>
    <row r="37" spans="1:5" x14ac:dyDescent="0.25">
      <c r="A37" t="s">
        <v>113</v>
      </c>
      <c r="B37" s="60" t="str">
        <f>IF(Saisie!$B$81="","",Saisie!$B$81)</f>
        <v/>
      </c>
      <c r="C37" s="61"/>
      <c r="D37" s="61"/>
      <c r="E37" s="61"/>
    </row>
    <row r="38" spans="1:5" x14ac:dyDescent="0.25">
      <c r="A38" t="s">
        <v>114</v>
      </c>
      <c r="B38" s="64" t="str">
        <f>IF(Saisie!$B$82="","",Saisie!$B$82)</f>
        <v/>
      </c>
      <c r="C38" s="61"/>
      <c r="D38" s="61"/>
      <c r="E38" s="61"/>
    </row>
    <row r="39" spans="1:5" x14ac:dyDescent="0.25">
      <c r="A39" t="s">
        <v>105</v>
      </c>
      <c r="B39" s="60" t="str">
        <f>IF(Saisie!$B$83="","",Saisie!$B$83)</f>
        <v/>
      </c>
      <c r="C39" s="61"/>
      <c r="D39" s="61"/>
      <c r="E39" s="61"/>
    </row>
    <row r="40" spans="1:5" x14ac:dyDescent="0.25">
      <c r="A40" t="s">
        <v>115</v>
      </c>
      <c r="B40" s="3" t="str">
        <f>IF(Saisie!$B$84="","",Saisie!$B$84)</f>
        <v/>
      </c>
      <c r="C40" s="3"/>
      <c r="D40" s="3"/>
      <c r="E40" s="3"/>
    </row>
    <row r="41" spans="1:5" x14ac:dyDescent="0.25">
      <c r="A41" t="s">
        <v>116</v>
      </c>
      <c r="B41" s="62" t="str">
        <f>IF(Saisie!$B$85="","",Saisie!$B$85)</f>
        <v/>
      </c>
      <c r="C41" s="61"/>
      <c r="D41" s="61"/>
      <c r="E41" s="61"/>
    </row>
    <row r="42" spans="1:5" x14ac:dyDescent="0.25">
      <c r="A42" t="s">
        <v>117</v>
      </c>
      <c r="B42" s="62" t="str">
        <f>IF(Saisie!$B$86="","",Saisie!$B$86)</f>
        <v/>
      </c>
      <c r="C42" s="61"/>
      <c r="D42" s="61"/>
      <c r="E42" s="61"/>
    </row>
    <row r="43" spans="1:5" x14ac:dyDescent="0.25">
      <c r="A43" t="s">
        <v>118</v>
      </c>
      <c r="B43" s="62" t="str">
        <f>IF(Saisie!$B$87="","",Saisie!$B$87)</f>
        <v/>
      </c>
      <c r="C43" s="61"/>
      <c r="D43" s="61"/>
      <c r="E43" s="61"/>
    </row>
    <row r="44" spans="1:5" x14ac:dyDescent="0.25">
      <c r="A44" t="s">
        <v>119</v>
      </c>
      <c r="B44" s="62" t="str">
        <f>IF(Saisie!$B$88="","",Saisie!$B$88)</f>
        <v/>
      </c>
      <c r="C44" s="61"/>
      <c r="D44" s="61"/>
      <c r="E44" s="61"/>
    </row>
  </sheetData>
  <mergeCells count="30">
    <mergeCell ref="B11:E11"/>
    <mergeCell ref="B44:E44"/>
    <mergeCell ref="B38:E38"/>
    <mergeCell ref="B29:E29"/>
    <mergeCell ref="B19:E19"/>
    <mergeCell ref="B37:E37"/>
    <mergeCell ref="B28:E28"/>
    <mergeCell ref="B43:E43"/>
    <mergeCell ref="B21:E21"/>
    <mergeCell ref="B39:E39"/>
    <mergeCell ref="B33:E33"/>
    <mergeCell ref="B36:E36"/>
    <mergeCell ref="B32:E32"/>
    <mergeCell ref="B26:E26"/>
    <mergeCell ref="B2:E2"/>
    <mergeCell ref="B42:E42"/>
    <mergeCell ref="B14:E14"/>
    <mergeCell ref="B17:E17"/>
    <mergeCell ref="B23:E23"/>
    <mergeCell ref="B8:E8"/>
    <mergeCell ref="B13:E13"/>
    <mergeCell ref="B10:E10"/>
    <mergeCell ref="B41:E41"/>
    <mergeCell ref="B16:E16"/>
    <mergeCell ref="B25:E25"/>
    <mergeCell ref="B22:E22"/>
    <mergeCell ref="B31:E31"/>
    <mergeCell ref="B18:E18"/>
    <mergeCell ref="B27:E27"/>
    <mergeCell ref="B9:E9"/>
  </mergeCells>
  <pageMargins left="0.41" right="0.4" top="0.57999999999999996" bottom="0.75" header="0.3" footer="0.3"/>
  <pageSetup paperSize="9"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D4BB4-F8DA-4776-A308-505464C2337E}">
  <sheetPr codeName="Feuil1">
    <tabColor rgb="FF0019A8"/>
    <pageSetUpPr fitToPage="1"/>
  </sheetPr>
  <dimension ref="B2:L25"/>
  <sheetViews>
    <sheetView showGridLines="0" topLeftCell="A2" zoomScale="90" zoomScaleNormal="90" zoomScalePageLayoutView="80" workbookViewId="0">
      <pane ySplit="4" topLeftCell="A6" activePane="bottomLeft" state="frozen"/>
      <selection activeCell="A2" sqref="A2"/>
      <selection pane="bottomLeft" activeCell="C23" sqref="C23:D23"/>
    </sheetView>
  </sheetViews>
  <sheetFormatPr baseColWidth="10" defaultColWidth="11.42578125" defaultRowHeight="15" x14ac:dyDescent="0.25"/>
  <cols>
    <col min="1" max="1" width="12.5703125" customWidth="1"/>
    <col min="2" max="2" width="36.7109375" customWidth="1"/>
    <col min="3" max="3" width="35.85546875" customWidth="1"/>
    <col min="4" max="4" width="28.140625" customWidth="1"/>
  </cols>
  <sheetData>
    <row r="2" spans="2:12" ht="15.75" thickBot="1" x14ac:dyDescent="0.3">
      <c r="B2" s="16"/>
    </row>
    <row r="3" spans="2:12" ht="22.9" customHeight="1" thickTop="1" thickBot="1" x14ac:dyDescent="0.3">
      <c r="B3" s="17" t="s">
        <v>247</v>
      </c>
      <c r="C3" s="76" t="s">
        <v>248</v>
      </c>
      <c r="D3" s="18"/>
    </row>
    <row r="4" spans="2:12" ht="22.9" customHeight="1" thickTop="1" thickBot="1" x14ac:dyDescent="0.3">
      <c r="B4" s="19" t="s">
        <v>249</v>
      </c>
      <c r="C4" s="77"/>
      <c r="D4" s="20"/>
    </row>
    <row r="5" spans="2:12" ht="22.9" customHeight="1" thickTop="1" thickBot="1" x14ac:dyDescent="0.3">
      <c r="B5" s="21" t="s">
        <v>250</v>
      </c>
      <c r="C5" s="78"/>
      <c r="D5" s="22"/>
    </row>
    <row r="6" spans="2:12" ht="30" customHeight="1" thickTop="1" x14ac:dyDescent="0.25">
      <c r="B6" s="23" t="s">
        <v>251</v>
      </c>
      <c r="C6" s="79" t="str">
        <f>IF(Saisie!$B$12="","",Saisie!$B$12)</f>
        <v/>
      </c>
      <c r="D6" s="80"/>
    </row>
    <row r="7" spans="2:12" ht="30" customHeight="1" x14ac:dyDescent="0.25">
      <c r="B7" s="24" t="s">
        <v>206</v>
      </c>
      <c r="C7" s="81" t="str">
        <f>IF(Saisie!$B$127="","",Saisie!$B$127)</f>
        <v>LOX Med</v>
      </c>
      <c r="D7" s="82"/>
    </row>
    <row r="8" spans="2:12" ht="30" customHeight="1" x14ac:dyDescent="0.25">
      <c r="B8" s="25" t="s">
        <v>252</v>
      </c>
      <c r="C8" s="83" t="str">
        <f>IF(Saisie!$B$11="","",Saisie!$B$11)</f>
        <v/>
      </c>
      <c r="D8" s="84"/>
    </row>
    <row r="9" spans="2:12" ht="30" customHeight="1" x14ac:dyDescent="0.25">
      <c r="B9" s="26" t="s">
        <v>253</v>
      </c>
      <c r="C9" s="85" t="str">
        <f>IF(Saisie!$B$128="","",Saisie!$B$128)</f>
        <v/>
      </c>
      <c r="D9" s="86"/>
    </row>
    <row r="10" spans="2:12" ht="30" customHeight="1" x14ac:dyDescent="0.25">
      <c r="B10" s="25" t="s">
        <v>254</v>
      </c>
      <c r="C10" s="87" t="str">
        <f>IF(Saisie!$B$129="","",Saisie!$B$129)</f>
        <v/>
      </c>
      <c r="D10" s="88"/>
    </row>
    <row r="11" spans="2:12" ht="30" customHeight="1" x14ac:dyDescent="0.25">
      <c r="B11" s="26" t="s">
        <v>211</v>
      </c>
      <c r="C11" s="89" t="str">
        <f>IF(Saisie!$B$130="","",Saisie!$B$130)</f>
        <v/>
      </c>
      <c r="D11" s="90"/>
    </row>
    <row r="12" spans="2:12" ht="30" customHeight="1" thickBot="1" x14ac:dyDescent="0.3">
      <c r="B12" s="27" t="s">
        <v>213</v>
      </c>
      <c r="C12" s="91" t="str">
        <f>IF(Saisie!$B$131="","",Saisie!$B$131)</f>
        <v/>
      </c>
      <c r="D12" s="91"/>
      <c r="I12" s="28"/>
      <c r="J12" s="28"/>
      <c r="K12" s="28"/>
      <c r="L12" s="28"/>
    </row>
    <row r="13" spans="2:12" ht="30" customHeight="1" x14ac:dyDescent="0.25">
      <c r="B13" s="29" t="s">
        <v>215</v>
      </c>
      <c r="C13" s="71" t="str">
        <f>IF(Saisie!$B$132="","",Saisie!$B$132)</f>
        <v/>
      </c>
      <c r="D13" s="71"/>
      <c r="I13" s="28"/>
      <c r="J13" s="30"/>
      <c r="K13" s="28"/>
      <c r="L13" s="28"/>
    </row>
    <row r="14" spans="2:12" ht="30" customHeight="1" x14ac:dyDescent="0.25">
      <c r="B14" s="27" t="s">
        <v>255</v>
      </c>
      <c r="C14" s="91" t="str">
        <f>IF(Saisie!$B$133&lt;&gt;"",Saisie!$B$133&amp;"",IF(Saisie!$B$105&lt;&gt;"",Saisie!$B$105&amp;" m3/an",""))</f>
        <v/>
      </c>
      <c r="D14" s="91"/>
      <c r="I14" s="28"/>
      <c r="J14" s="31"/>
      <c r="K14" s="28"/>
      <c r="L14" s="28"/>
    </row>
    <row r="15" spans="2:12" ht="30" customHeight="1" x14ac:dyDescent="0.25">
      <c r="B15" s="29" t="s">
        <v>219</v>
      </c>
      <c r="C15" s="71" t="str">
        <f>IF(Saisie!$B$134="","",Saisie!$B$134)</f>
        <v/>
      </c>
      <c r="D15" s="71"/>
      <c r="I15" s="28"/>
      <c r="J15" s="32"/>
      <c r="K15" s="28"/>
      <c r="L15" s="28"/>
    </row>
    <row r="16" spans="2:12" ht="30" customHeight="1" x14ac:dyDescent="0.25">
      <c r="B16" s="33" t="s">
        <v>221</v>
      </c>
      <c r="C16" s="75" t="str">
        <f>IF(Saisie!$B$135&lt;&gt;"",Saisie!$B$135,IF(Saisie!$B$45&lt;&gt;"",Saisie!$B$45,""))</f>
        <v/>
      </c>
      <c r="D16" s="70"/>
      <c r="I16" s="28"/>
      <c r="J16" s="31"/>
      <c r="K16" s="28"/>
      <c r="L16" s="28"/>
    </row>
    <row r="17" spans="2:12" ht="30" customHeight="1" x14ac:dyDescent="0.25">
      <c r="B17" s="34" t="s">
        <v>223</v>
      </c>
      <c r="C17" s="69" t="str">
        <f>IF(Saisie!$B$136="","",Saisie!$B$136)</f>
        <v/>
      </c>
      <c r="D17" s="69"/>
      <c r="I17" s="28"/>
      <c r="J17" s="35"/>
      <c r="K17" s="28"/>
      <c r="L17" s="28"/>
    </row>
    <row r="18" spans="2:12" ht="30" customHeight="1" x14ac:dyDescent="0.25">
      <c r="B18" s="33" t="s">
        <v>225</v>
      </c>
      <c r="C18" s="70" t="str">
        <f>IF(Saisie!$B$137="","",Saisie!$B$137)</f>
        <v/>
      </c>
      <c r="D18" s="70"/>
    </row>
    <row r="19" spans="2:12" ht="30" customHeight="1" x14ac:dyDescent="0.25">
      <c r="B19" s="29" t="s">
        <v>5</v>
      </c>
      <c r="C19" s="71" t="str">
        <f>IF(Saisie!$B$4="","",Saisie!$B$4)</f>
        <v/>
      </c>
      <c r="D19" s="71"/>
      <c r="H19" s="36"/>
      <c r="J19" s="37"/>
    </row>
    <row r="20" spans="2:12" ht="30" customHeight="1" x14ac:dyDescent="0.25">
      <c r="B20" s="27" t="s">
        <v>6</v>
      </c>
      <c r="C20" s="72" t="str">
        <f>IF(Saisie!$B$5="","",Saisie!$B$5)</f>
        <v/>
      </c>
      <c r="D20" s="72"/>
      <c r="H20" s="36"/>
      <c r="J20" s="37"/>
    </row>
    <row r="21" spans="2:12" ht="30" customHeight="1" x14ac:dyDescent="0.25">
      <c r="B21" s="29" t="s">
        <v>256</v>
      </c>
      <c r="C21" s="72" t="str">
        <f>TRIM(Saisie!$B$6&amp;" "&amp;Saisie!$B$7)</f>
        <v/>
      </c>
      <c r="D21" s="72"/>
      <c r="H21" s="36"/>
      <c r="J21" s="37"/>
    </row>
    <row r="22" spans="2:12" ht="30" customHeight="1" x14ac:dyDescent="0.25">
      <c r="B22" s="33" t="s">
        <v>257</v>
      </c>
      <c r="C22" s="73" t="str">
        <f>IF(Saisie!$B$138&lt;&gt;"",Saisie!$B$138&amp;"",Saisie!$B$8&amp;"")</f>
        <v/>
      </c>
      <c r="D22" s="74"/>
      <c r="J22" s="38"/>
    </row>
    <row r="23" spans="2:12" ht="30" customHeight="1" x14ac:dyDescent="0.25">
      <c r="B23" s="34" t="s">
        <v>10</v>
      </c>
      <c r="C23" s="65" t="str">
        <f>IF(Saisie!$B$139&lt;&gt;"",Saisie!$B$139&amp;"",Saisie!$B$9&amp;"")</f>
        <v/>
      </c>
      <c r="D23" s="66"/>
    </row>
    <row r="24" spans="2:12" ht="30" customHeight="1" x14ac:dyDescent="0.25">
      <c r="B24" s="27" t="s">
        <v>231</v>
      </c>
      <c r="C24" s="67" t="str">
        <f>IF(Saisie!$B$140="","",Saisie!$B$140)</f>
        <v/>
      </c>
      <c r="D24" s="68"/>
    </row>
    <row r="25" spans="2:12" ht="81.599999999999994" customHeight="1" x14ac:dyDescent="0.25">
      <c r="B25" s="34" t="s">
        <v>232</v>
      </c>
      <c r="C25" s="40" t="str">
        <f>IF(Saisie!$B$141="","",Saisie!$B$141)</f>
        <v/>
      </c>
      <c r="D25" s="39"/>
    </row>
  </sheetData>
  <mergeCells count="20">
    <mergeCell ref="C16:D16"/>
    <mergeCell ref="C3:C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23:D23"/>
    <mergeCell ref="C24:D24"/>
    <mergeCell ref="C17:D17"/>
    <mergeCell ref="C18:D18"/>
    <mergeCell ref="C19:D19"/>
    <mergeCell ref="C20:D20"/>
    <mergeCell ref="C21:D21"/>
    <mergeCell ref="C22:D2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67"/>
  <sheetViews>
    <sheetView workbookViewId="0">
      <selection activeCell="L75" sqref="L75"/>
    </sheetView>
  </sheetViews>
  <sheetFormatPr baseColWidth="10" defaultColWidth="9.140625" defaultRowHeight="15" x14ac:dyDescent="0.25"/>
  <cols>
    <col min="1" max="1" width="120" customWidth="1"/>
  </cols>
  <sheetData>
    <row r="1" spans="1:1" ht="15.75" customHeight="1" x14ac:dyDescent="0.25">
      <c r="A1" s="53" t="s">
        <v>120</v>
      </c>
    </row>
    <row r="2" spans="1:1" x14ac:dyDescent="0.25">
      <c r="A2" s="2" t="s">
        <v>121</v>
      </c>
    </row>
    <row r="3" spans="1:1" x14ac:dyDescent="0.25">
      <c r="A3" s="2" t="s">
        <v>122</v>
      </c>
    </row>
    <row r="4" spans="1:1" x14ac:dyDescent="0.25">
      <c r="A4" s="2" t="s">
        <v>123</v>
      </c>
    </row>
    <row r="5" spans="1:1" x14ac:dyDescent="0.25">
      <c r="A5" s="2" t="s">
        <v>124</v>
      </c>
    </row>
    <row r="6" spans="1:1" x14ac:dyDescent="0.25">
      <c r="A6" s="2" t="s">
        <v>125</v>
      </c>
    </row>
    <row r="7" spans="1:1" x14ac:dyDescent="0.25">
      <c r="A7" s="2" t="s">
        <v>126</v>
      </c>
    </row>
    <row r="8" spans="1:1" x14ac:dyDescent="0.25">
      <c r="A8" s="2" t="s">
        <v>127</v>
      </c>
    </row>
    <row r="9" spans="1:1" ht="15.75" customHeight="1" x14ac:dyDescent="0.25">
      <c r="A9" s="2" t="s">
        <v>261</v>
      </c>
    </row>
    <row r="10" spans="1:1" ht="15.75" x14ac:dyDescent="0.25">
      <c r="A10" s="53" t="s">
        <v>128</v>
      </c>
    </row>
    <row r="11" spans="1:1" x14ac:dyDescent="0.25">
      <c r="A11" s="2" t="s">
        <v>129</v>
      </c>
    </row>
    <row r="12" spans="1:1" x14ac:dyDescent="0.25">
      <c r="A12" s="2" t="s">
        <v>130</v>
      </c>
    </row>
    <row r="13" spans="1:1" x14ac:dyDescent="0.25">
      <c r="A13" s="2" t="s">
        <v>258</v>
      </c>
    </row>
    <row r="14" spans="1:1" x14ac:dyDescent="0.25">
      <c r="A14" s="2" t="s">
        <v>131</v>
      </c>
    </row>
    <row r="15" spans="1:1" ht="15.75" x14ac:dyDescent="0.25">
      <c r="A15" s="53" t="s">
        <v>146</v>
      </c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6" spans="1:1" x14ac:dyDescent="0.25">
      <c r="A36" s="54" t="s">
        <v>132</v>
      </c>
    </row>
    <row r="51" spans="1:1" x14ac:dyDescent="0.25">
      <c r="A51" s="54" t="s">
        <v>139</v>
      </c>
    </row>
    <row r="73" spans="1:1" x14ac:dyDescent="0.25">
      <c r="A73" s="54" t="s">
        <v>133</v>
      </c>
    </row>
    <row r="94" spans="1:1" ht="15.75" x14ac:dyDescent="0.25">
      <c r="A94" s="55" t="s">
        <v>134</v>
      </c>
    </row>
    <row r="95" spans="1:1" x14ac:dyDescent="0.25">
      <c r="A95" t="s">
        <v>141</v>
      </c>
    </row>
    <row r="96" spans="1:1" x14ac:dyDescent="0.25">
      <c r="A96" s="54" t="s">
        <v>135</v>
      </c>
    </row>
    <row r="120" spans="1:1" x14ac:dyDescent="0.25">
      <c r="A120" s="54" t="s">
        <v>136</v>
      </c>
    </row>
    <row r="141" spans="1:1" x14ac:dyDescent="0.25">
      <c r="A141" s="54" t="s">
        <v>137</v>
      </c>
    </row>
    <row r="154" spans="1:1" x14ac:dyDescent="0.25">
      <c r="A154" s="54" t="s">
        <v>138</v>
      </c>
    </row>
    <row r="167" spans="1:1" ht="15.75" x14ac:dyDescent="0.25">
      <c r="A167" s="55" t="s">
        <v>140</v>
      </c>
    </row>
  </sheetData>
  <pageMargins left="0.75" right="0.75" top="1" bottom="1" header="0.5" footer="0.5"/>
  <pageSetup paperSize="9" orientation="portrait" horizontalDpi="300" verticalDpi="300" copies="8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Saisie</vt:lpstr>
      <vt:lpstr>Fiches clients</vt:lpstr>
      <vt:lpstr>Demande EGYDE</vt:lpstr>
      <vt:lpstr>Demande remplissage</vt:lpstr>
      <vt:lpstr>Lisez-moi</vt:lpstr>
      <vt:lpstr>'Demande remplissage'!Zone_d_impression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2026-09-23T16:01:40Z</dcterms:created>
  <dcterms:modified xsi:type="dcterms:W3CDTF">2026-10-06T18:09:51Z</dcterms:modified>
</cp:coreProperties>
</file>