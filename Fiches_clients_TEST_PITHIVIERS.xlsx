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20" yWindow="5145" windowWidth="28800" windowHeight="15345" tabRatio="600" firstSheet="0" activeTab="2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Fiches clients" sheetId="2" state="visible" r:id="rId2"/>
    <sheet xmlns:r="http://schemas.openxmlformats.org/officeDocument/2006/relationships" name="Demande EGYDE" sheetId="3" state="visible" r:id="rId3"/>
    <sheet xmlns:r="http://schemas.openxmlformats.org/officeDocument/2006/relationships" name="Lisez-moi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Choix1">'[1]Fiche rens. client Air Med '!$A$3</definedName>
    <definedName name="secoursgaz">[2]CONDITIONNE!$I:$I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FF1F4D78"/>
      <sz val="14"/>
    </font>
    <font>
      <name val="Calibri"/>
      <b val="1"/>
      <color rgb="FFFFFFFF"/>
      <sz val="11"/>
    </font>
    <font>
      <name val="Calibri"/>
      <b val="1"/>
      <color rgb="FF1F4D78"/>
      <sz val="11"/>
    </font>
    <font>
      <name val="Calibri"/>
      <i val="1"/>
      <color rgb="FF808080"/>
      <sz val="11"/>
    </font>
    <font>
      <name val="Calibri"/>
      <b val="1"/>
      <sz val="11"/>
    </font>
    <font>
      <name val="Calibri"/>
      <b val="1"/>
      <color rgb="FF1F4D78"/>
      <sz val="12"/>
    </font>
    <font>
      <name val="Calibri"/>
      <color rgb="FF000000"/>
      <sz val="11"/>
    </font>
    <font>
      <name val="Calibri"/>
      <family val="2"/>
      <b val="1"/>
      <color rgb="FF1F4D78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9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F4D78"/>
      </patternFill>
    </fill>
    <fill>
      <patternFill patternType="solid">
        <fgColor rgb="FFDEEAF6"/>
      </patternFill>
    </fill>
    <fill>
      <patternFill patternType="solid">
        <fgColor rgb="FFFFF9E0"/>
      </patternFill>
    </fill>
    <fill>
      <patternFill patternType="solid">
        <fgColor rgb="FFFFFF00"/>
        <bgColor indexed="64"/>
      </patternFill>
    </fill>
    <fill>
      <patternFill patternType="solid">
        <fgColor rgb="FF1900A8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49" fontId="0" fillId="4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horizontal="left"/>
    </xf>
    <xf numFmtId="164" fontId="0" fillId="5" borderId="0" pivotButton="0" quotePrefix="0" xfId="0"/>
    <xf numFmtId="0" fontId="0" fillId="5" borderId="0" pivotButton="0" quotePrefix="0" xfId="0"/>
    <xf numFmtId="0" fontId="10" fillId="5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0" fillId="5" borderId="0" applyAlignment="1" pivotButton="0" quotePrefix="0" xfId="0">
      <alignment horizontal="left" indent="1"/>
    </xf>
    <xf numFmtId="0" fontId="12" fillId="6" borderId="0" pivotButton="0" quotePrefix="0" xfId="0"/>
    <xf numFmtId="0" fontId="0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</cellXfs>
  <cellStyles count="2">
    <cellStyle name="Normal" xfId="0" builtinId="0"/>
    <cellStyle name="Lien hypertext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142875</colOff>
      <row>0</row>
      <rowOff>47625</rowOff>
    </from>
    <to>
      <col>3</col>
      <colOff>161290</colOff>
      <row>0</row>
      <rowOff>781050</rowOff>
    </to>
    <pic>
      <nvPicPr>
        <cNvPr id="2" name="Image 1" descr="logo messer.gi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0970" y="49530"/>
          <a:ext cx="2154555" cy="727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1400175</colOff>
      <row>0</row>
      <rowOff>47625</rowOff>
    </from>
    <to>
      <col>6</col>
      <colOff>618490</colOff>
      <row>0</row>
      <rowOff>885797</rowOff>
    </to>
    <pic>
      <nvPicPr>
        <cNvPr id="3" name="Image 2" descr="Logo 2Gi-Technologie_RVB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7845" y="49530"/>
          <a:ext cx="849630" cy="8388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63500</colOff>
      <row>16</row>
      <rowOff>0</rowOff>
    </from>
    <to>
      <col>2</col>
      <colOff>342900</colOff>
      <row>29</row>
      <rowOff>9686</rowOff>
    </to>
    <pic>
      <nvPicPr>
        <cNvPr id="3" name="Imag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3500" y="2876550"/>
          <a:ext cx="8890000" cy="24861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63500</colOff>
      <row>31</row>
      <rowOff>0</rowOff>
    </from>
    <to>
      <col>0</col>
      <colOff>7175500</colOff>
      <row>50</row>
      <rowOff>114300</rowOff>
    </to>
    <pic>
      <nvPicPr>
        <cNvPr id="5" name="Imag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3500" y="5734050"/>
          <a:ext cx="7112000" cy="37338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63500</colOff>
      <row>53</row>
      <rowOff>0</rowOff>
    </from>
    <to>
      <col>1</col>
      <colOff>190500</colOff>
      <row>70</row>
      <rowOff>175260</rowOff>
    </to>
    <pic>
      <nvPicPr>
        <cNvPr id="4" name="Imag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500" y="9925050"/>
          <a:ext cx="8128000" cy="34137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T:\Users\christophe.henry\AppData\Local\Microsoft\Windows\Temporary%20Internet%20Files\Content.Outlook\Z51A5NT8\TABLEAU%20SUIVI%20EQUIPEMENTS%20-%20MEDICAL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T:\Documents%20and%20Settings\bruno.servanty\Bureau\objectif\Fichier%20INSTALLATIONS%20HOSPITALIERES%20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IVI AIR MEDICAL"/>
      <sheetName val="SUIVI POMPE A VIDE"/>
      <sheetName val="SUIVI LOX MED"/>
      <sheetName val="Armoires"/>
      <sheetName val="Réseaux"/>
      <sheetName val="Centrale Gaz"/>
      <sheetName val="PLANNING"/>
      <sheetName val="Ref kit"/>
      <sheetName val="Fiche rens. client Air Med "/>
      <sheetName val="Source S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12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euil2 (2)"/>
      <sheetName val="AIR MEDICAL Prx"/>
      <sheetName val="VIDE MEDICAL Prx"/>
      <sheetName val="XXX - CH XXX VILLE (2)"/>
      <sheetName val="Feuil1"/>
      <sheetName val="VRAC"/>
      <sheetName val="CONDITIONNE"/>
      <sheetName val="Machine tournante"/>
      <sheetName val="ARMOIRE DE SECOURS Prx"/>
      <sheetName val="MAINTENANCE-Contrats "/>
      <sheetName val="PLANNING"/>
      <sheetName val="XXX - CH XXX VILLE"/>
      <sheetName val="001 CH CHAUNY"/>
      <sheetName val="002 - CH SAINT LOUIS"/>
      <sheetName val="003 - SECOURS llG"/>
      <sheetName val="101 CH - EAUBONNE"/>
      <sheetName val="102 CH - BEAUMONT"/>
      <sheetName val="103 CH - PONTOISE"/>
      <sheetName val="104 CH - GONESSE"/>
      <sheetName val="105 CH - ARGENTEUIL"/>
      <sheetName val="106 - CH CREIL"/>
      <sheetName val="107 - Nevers HPB"/>
      <sheetName val="108 - CH ST NICOLAS VERDUN"/>
      <sheetName val="109 - CH J MONOD LE HAVRE"/>
      <sheetName val="110 - CH SENLIS"/>
      <sheetName val="111 - IMM"/>
      <sheetName val="112 - CH SENS GASTON RAMON"/>
      <sheetName val="113 - CHRU ANGER"/>
      <sheetName val="114 - HIA PERCY"/>
      <sheetName val="115 – CH MIGNOT"/>
      <sheetName val="201 - CH BOULAY"/>
      <sheetName val="202 - CH NEVERS"/>
      <sheetName val="203 - CH FORBACH"/>
      <sheetName val="204 - CH SAINT AVOLD"/>
      <sheetName val="205 - CH MONTMORENCY"/>
      <sheetName val="206 - CH AINCOURT"/>
      <sheetName val="207 - CH TAVERNY"/>
      <sheetName val="208 - CH SAINT CLOUD"/>
      <sheetName val="209 - CH SAINT MARTIN DU TERTRE"/>
      <sheetName val="210 - CH SEVRES   "/>
      <sheetName val="211 - CLINIQUE DU PRE"/>
      <sheetName val="212 - CH PIGNELIN"/>
      <sheetName val="213 - CH CREUSOT"/>
      <sheetName val="214 - CH SAINT MIHIEL"/>
      <sheetName val="215 - CH SAINTE CATHERINE VERDU"/>
      <sheetName val="216 - CH DESSANDROIN VERDUN"/>
      <sheetName val="217 - HOSPICE CIVIL DE BEAUNE"/>
      <sheetName val="218 - CH FLAUBERT LE HAVRE"/>
      <sheetName val="219 - CH ST BARTHELEMY ANGERS"/>
      <sheetName val="220 - CH ST NICOLAS ANGER"/>
      <sheetName val="221 - CH RICHAUD"/>
      <sheetName val="222 - CH Pont Saint Maxence"/>
      <sheetName val="301 - CH AVALLON"/>
      <sheetName val="302 - CH MONTMIRAIL"/>
      <sheetName val="303 - CH TOUL"/>
      <sheetName val="304 - CH CHAMONIX"/>
      <sheetName val="305 - CH CHAMONIX EPAD COUTET"/>
      <sheetName val="306 - CH SENS CMLS "/>
      <sheetName val="307 - CH FORBACH EPAD BAUER"/>
      <sheetName val="308 - CH SOULTZ-ISSENHEIM"/>
      <sheetName val="309 - CH HARFLEUR"/>
      <sheetName val="310 - CH Sainte Marie Aux Mines"/>
      <sheetName val="602 - HIA LEGOUEST METZ"/>
      <sheetName val="603 - HCL NEURO LYON"/>
      <sheetName val="604 - HCL HFME LYON"/>
      <sheetName val="605 - OHS FLAVIGNY"/>
      <sheetName val="606 - CH LILLE"/>
      <sheetName val="607 - CH EMILE GALLE"/>
      <sheetName val="608 - CH FORBACH"/>
      <sheetName val="609 - CH SAINT AVOLD"/>
      <sheetName val="610 - CH TOUL"/>
      <sheetName val="611 - CH ST NICOLAS VERDUN"/>
      <sheetName val="612 - CH SAINT DIE"/>
      <sheetName val="613 - CHU NANCY MATERNITE"/>
      <sheetName val="614 - CH LUNEVILLE"/>
      <sheetName val="701 - C.H.LEON BINET"/>
      <sheetName val="702 - CH SAINT AVOLD"/>
      <sheetName val="703 - CH FORBACH"/>
      <sheetName val="704 - CH FORBACH EPAD BAUER"/>
      <sheetName val="705 - CH LONGJUMEAU"/>
      <sheetName val="901 - IGR VILLEJUIF"/>
      <sheetName val="Feuil1 (2)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I2" t="str">
            <v>Secours</v>
          </cell>
        </row>
        <row r="3">
          <cell r="I3" t="str">
            <v>2 B50 O2 med</v>
          </cell>
        </row>
        <row r="4">
          <cell r="I4" t="str">
            <v>1 B50 C02 Coelio</v>
          </cell>
        </row>
        <row r="5">
          <cell r="I5" t="str">
            <v>1 CV8</v>
          </cell>
        </row>
        <row r="6">
          <cell r="I6" t="str">
            <v>2 B50</v>
          </cell>
        </row>
        <row r="7">
          <cell r="I7" t="str">
            <v>6 B50</v>
          </cell>
        </row>
        <row r="8">
          <cell r="I8" t="str">
            <v>11 B50</v>
          </cell>
        </row>
        <row r="9">
          <cell r="I9" t="str">
            <v>1 CV8</v>
          </cell>
        </row>
        <row r="10">
          <cell r="I10" t="str">
            <v>1 CV8</v>
          </cell>
        </row>
        <row r="11">
          <cell r="I11" t="str">
            <v>1 CV8</v>
          </cell>
        </row>
        <row r="12">
          <cell r="I12" t="str">
            <v>1 B50</v>
          </cell>
        </row>
        <row r="13">
          <cell r="I13" t="str">
            <v>3 b50</v>
          </cell>
        </row>
        <row r="14">
          <cell r="I14" t="str">
            <v>2 B50</v>
          </cell>
        </row>
        <row r="15">
          <cell r="I15" t="str">
            <v>2 B50</v>
          </cell>
        </row>
        <row r="16">
          <cell r="I16" t="str">
            <v>2 B50</v>
          </cell>
        </row>
        <row r="17">
          <cell r="I17" t="str">
            <v>4 B50</v>
          </cell>
        </row>
        <row r="18">
          <cell r="I18" t="str">
            <v>4 B50</v>
          </cell>
        </row>
        <row r="20">
          <cell r="I20" t="str">
            <v>1 CV8</v>
          </cell>
        </row>
        <row r="21">
          <cell r="I21" t="str">
            <v>1 MP6</v>
          </cell>
        </row>
        <row r="22">
          <cell r="I22" t="str">
            <v>4 B50</v>
          </cell>
        </row>
        <row r="24">
          <cell r="I24" t="str">
            <v>5 B50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tabSelected="0" workbookViewId="0">
      <pane ySplit="2" topLeftCell="A3" activePane="bottomLeft" state="frozen"/>
      <selection pane="bottomLeft" activeCell="F45" sqref="F45"/>
    </sheetView>
  </sheetViews>
  <sheetFormatPr baseColWidth="10" defaultColWidth="9.140625" defaultRowHeight="15"/>
  <cols>
    <col width="34" customWidth="1" style="12" min="1" max="1"/>
    <col width="48" customWidth="1" style="12" min="2" max="2"/>
    <col width="46" customWidth="1" style="12" min="3" max="3"/>
  </cols>
  <sheetData>
    <row r="1" ht="18.75" customHeight="1" s="12">
      <c r="A1" s="11" t="inlineStr">
        <is>
          <t>FICHE CHANTIER – remplis uniquement la colonne B (cases jaunes)</t>
        </is>
      </c>
    </row>
    <row r="2">
      <c r="A2" s="1" t="inlineStr">
        <is>
          <t>Champ</t>
        </is>
      </c>
      <c r="B2" s="1" t="inlineStr">
        <is>
          <t>Valeur</t>
        </is>
      </c>
      <c r="C2" s="1" t="inlineStr">
        <is>
          <t>Aide</t>
        </is>
      </c>
    </row>
    <row r="3">
      <c r="A3" s="9" t="inlineStr">
        <is>
          <t>INFOS CLIENT</t>
        </is>
      </c>
    </row>
    <row r="4">
      <c r="A4" s="2" t="inlineStr">
        <is>
          <t>Client</t>
        </is>
      </c>
      <c r="B4" s="3" t="inlineStr">
        <is>
          <t>Centre Hospitalier de PITHIVIERS</t>
        </is>
      </c>
      <c r="C4" s="4" t="n"/>
    </row>
    <row r="5">
      <c r="A5" s="2" t="inlineStr">
        <is>
          <t>Adresse</t>
        </is>
      </c>
      <c r="B5" s="3" t="inlineStr">
        <is>
          <t>10 Bd Beauvallet</t>
        </is>
      </c>
      <c r="C5" s="4" t="n"/>
    </row>
    <row r="6">
      <c r="A6" s="2" t="inlineStr">
        <is>
          <t>Code postal</t>
        </is>
      </c>
      <c r="B6" s="3" t="inlineStr">
        <is>
          <t>45300</t>
        </is>
      </c>
      <c r="C6" s="4" t="inlineStr">
        <is>
          <t>CodePostalVille (Form 004) se fait tout seul</t>
        </is>
      </c>
    </row>
    <row r="7">
      <c r="A7" s="2" t="inlineStr">
        <is>
          <t>Ville</t>
        </is>
      </c>
      <c r="B7" s="3" t="inlineStr">
        <is>
          <t>Pithiviers</t>
        </is>
      </c>
      <c r="C7" s="4" t="n"/>
    </row>
    <row r="8">
      <c r="A8" s="2" t="inlineStr">
        <is>
          <t>Contact client</t>
        </is>
      </c>
      <c r="B8" s="3" t="inlineStr">
        <is>
          <t>Mme Anaïs Minary</t>
        </is>
      </c>
      <c r="C8" s="4" t="n"/>
    </row>
    <row r="9">
      <c r="A9" s="2" t="inlineStr">
        <is>
          <t>Téléphone</t>
        </is>
      </c>
      <c r="B9" s="3" t="inlineStr">
        <is>
          <t>03.85.81.83.61</t>
        </is>
      </c>
      <c r="C9" s="4" t="n"/>
    </row>
    <row r="10">
      <c r="A10" s="2" t="inlineStr">
        <is>
          <t>Mail</t>
        </is>
      </c>
      <c r="B10" s="3" t="inlineStr">
        <is>
          <t>anais.minary@ch-paray.fr</t>
        </is>
      </c>
      <c r="C10" s="4" t="n"/>
    </row>
    <row r="11">
      <c r="A11" s="2" t="inlineStr">
        <is>
          <t>N° ordre</t>
        </is>
      </c>
      <c r="B11" s="3" t="inlineStr">
        <is>
          <t>84009436</t>
        </is>
      </c>
      <c r="C11" s="4" t="n"/>
    </row>
    <row r="12">
      <c r="A12" s="2" t="inlineStr">
        <is>
          <t>Chargé d’affaires</t>
        </is>
      </c>
      <c r="B12" s="3" t="inlineStr">
        <is>
          <t>Mr. Mhamed BENTANI</t>
        </is>
      </c>
      <c r="C12" s="4" t="n"/>
    </row>
    <row r="14">
      <c r="A14" s="9" t="inlineStr">
        <is>
          <t>SOURCES / CADRES</t>
        </is>
      </c>
    </row>
    <row r="15">
      <c r="A15" s="2" t="inlineStr">
        <is>
          <t>Source 1</t>
        </is>
      </c>
      <c r="B15" s="3" t="inlineStr">
        <is>
          <t>1 Cadre CV18</t>
        </is>
      </c>
      <c r="C15" s="4" t="n"/>
    </row>
    <row r="16">
      <c r="A16" s="2" t="inlineStr">
        <is>
          <t>Source 2</t>
        </is>
      </c>
      <c r="B16" s="3" t="inlineStr">
        <is>
          <t>1 Cadre CV18</t>
        </is>
      </c>
      <c r="C16" s="4" t="n"/>
    </row>
    <row r="17">
      <c r="A17" s="2" t="inlineStr">
        <is>
          <t>Source 3</t>
        </is>
      </c>
      <c r="B17" s="3" t="inlineStr">
        <is>
          <t>1 X CV8</t>
        </is>
      </c>
      <c r="C17" s="4" t="n"/>
    </row>
    <row r="18">
      <c r="A18" s="2" t="inlineStr">
        <is>
          <t>Source rampe gauche (Form 004)</t>
        </is>
      </c>
      <c r="B18" s="3" t="inlineStr">
        <is>
          <t>1 X CV18</t>
        </is>
      </c>
      <c r="C18" s="4" t="n"/>
    </row>
    <row r="19">
      <c r="A19" s="2" t="inlineStr">
        <is>
          <t>Source rampe secours (Form 004)</t>
        </is>
      </c>
      <c r="B19" s="3" t="inlineStr">
        <is>
          <t>1 X CV8</t>
        </is>
      </c>
      <c r="C19" s="4" t="n"/>
    </row>
    <row r="21">
      <c r="A21" s="9" t="inlineStr">
        <is>
          <t>TYPOLOGIE – INSTALLATION FINALE  (certificat tests alarmes + réception pharmaceutique)</t>
        </is>
      </c>
    </row>
    <row r="22">
      <c r="A22" s="2" t="inlineStr">
        <is>
          <t>LIQ-LIQ-LIQ</t>
        </is>
      </c>
      <c r="B22" s="3" t="n"/>
      <c r="C22" s="4" t="inlineStr">
        <is>
          <t>X = coché, vide = non coché</t>
        </is>
      </c>
    </row>
    <row r="23">
      <c r="A23" s="2" t="inlineStr">
        <is>
          <t>LIQ-LIQ-GAZ</t>
        </is>
      </c>
      <c r="B23" s="3" t="n"/>
      <c r="C23" s="4" t="inlineStr">
        <is>
          <t>X = coché, vide = non coché</t>
        </is>
      </c>
    </row>
    <row r="24">
      <c r="A24" s="2" t="inlineStr">
        <is>
          <t>LIQ-GAZ-GAZ</t>
        </is>
      </c>
      <c r="B24" s="3" t="n"/>
      <c r="C24" s="4" t="inlineStr">
        <is>
          <t>X = coché, vide = non coché</t>
        </is>
      </c>
    </row>
    <row r="25">
      <c r="A25" s="2" t="inlineStr">
        <is>
          <t>GAZ-GAZ-GAZ</t>
        </is>
      </c>
      <c r="B25" s="3" t="inlineStr">
        <is>
          <t>X</t>
        </is>
      </c>
      <c r="C25" s="4" t="inlineStr">
        <is>
          <t>X = coché, vide = non coché</t>
        </is>
      </c>
    </row>
    <row r="26">
      <c r="A26" s="2" t="inlineStr">
        <is>
          <t>MESS’AIR</t>
        </is>
      </c>
      <c r="B26" s="3" t="n"/>
      <c r="C26" s="4" t="inlineStr">
        <is>
          <t>X = coché, vide = non coché</t>
        </is>
      </c>
    </row>
    <row r="27">
      <c r="A27" s="2" t="inlineStr">
        <is>
          <t>MESS-VAC</t>
        </is>
      </c>
      <c r="B27" s="3" t="n"/>
      <c r="C27" s="4" t="inlineStr">
        <is>
          <t>X = coché, vide = non coché</t>
        </is>
      </c>
    </row>
    <row r="28">
      <c r="A28" s="2" t="inlineStr">
        <is>
          <t>Autre</t>
        </is>
      </c>
      <c r="B28" s="3" t="n"/>
      <c r="C28" s="4" t="inlineStr">
        <is>
          <t>X = coché, vide = non coché</t>
        </is>
      </c>
    </row>
    <row r="29">
      <c r="A29" s="2" t="inlineStr">
        <is>
          <t>Fluide</t>
        </is>
      </c>
      <c r="B29" s="3" t="inlineStr">
        <is>
          <t>Oxygène médicinal</t>
        </is>
      </c>
      <c r="C29" s="4" t="inlineStr">
        <is>
          <t>Choisir dans la liste (vide = case non cochée)</t>
        </is>
      </c>
    </row>
    <row r="31">
      <c r="A31" s="9" t="inlineStr">
        <is>
          <t>TYPOLOGIE – INSTALLATION PROVISOIRE  (certificat réception PROVISOIRE uniquement)</t>
        </is>
      </c>
    </row>
    <row r="32">
      <c r="A32" s="2" t="inlineStr">
        <is>
          <t>LIQ-LIQ-LIQ</t>
        </is>
      </c>
      <c r="B32" s="3" t="n"/>
      <c r="C32" s="4" t="inlineStr">
        <is>
          <t>X = coché, vide = non coché</t>
        </is>
      </c>
    </row>
    <row r="33">
      <c r="A33" s="2" t="inlineStr">
        <is>
          <t>LIQ-LIQ-GAZ</t>
        </is>
      </c>
      <c r="B33" s="3" t="n"/>
      <c r="C33" s="4" t="inlineStr">
        <is>
          <t>X = coché, vide = non coché</t>
        </is>
      </c>
    </row>
    <row r="34">
      <c r="A34" s="2" t="inlineStr">
        <is>
          <t>LIQ-GAZ-GAZ</t>
        </is>
      </c>
      <c r="B34" s="3" t="n"/>
      <c r="C34" s="4" t="inlineStr">
        <is>
          <t>X = coché, vide = non coché</t>
        </is>
      </c>
    </row>
    <row r="35">
      <c r="A35" s="2" t="inlineStr">
        <is>
          <t>GAZ-GAZ-GAZ</t>
        </is>
      </c>
      <c r="B35" s="3" t="n"/>
      <c r="C35" s="4" t="inlineStr">
        <is>
          <t>X = coché, vide = non coché</t>
        </is>
      </c>
    </row>
    <row r="36">
      <c r="A36" s="2" t="inlineStr">
        <is>
          <t>MESS’AIR</t>
        </is>
      </c>
      <c r="B36" s="3" t="n"/>
      <c r="C36" s="4" t="inlineStr">
        <is>
          <t>X = coché, vide = non coché</t>
        </is>
      </c>
    </row>
    <row r="37">
      <c r="A37" s="2" t="inlineStr">
        <is>
          <t>MESS-VAC</t>
        </is>
      </c>
      <c r="B37" s="3" t="n"/>
      <c r="C37" s="4" t="inlineStr">
        <is>
          <t>X = coché, vide = non coché</t>
        </is>
      </c>
    </row>
    <row r="38">
      <c r="A38" s="2" t="inlineStr">
        <is>
          <t>Autre</t>
        </is>
      </c>
      <c r="B38" s="3" t="n"/>
      <c r="C38" s="4" t="inlineStr">
        <is>
          <t>X = coché, vide = non coché</t>
        </is>
      </c>
    </row>
    <row r="39">
      <c r="A39" s="2" t="inlineStr">
        <is>
          <t>Fluide</t>
        </is>
      </c>
      <c r="B39" s="3" t="inlineStr">
        <is>
          <t>Oxygène médicinal</t>
        </is>
      </c>
      <c r="C39" s="4" t="inlineStr">
        <is>
          <t>Choisir dans la liste (vide = case non cochée)</t>
        </is>
      </c>
    </row>
    <row r="41">
      <c r="A41" s="9" t="inlineStr">
        <is>
          <t>DEMANDE EGYDE – SITE  (onglet Demande EGYDE ; client, adresse, CP et ville = INFOS CLIENT)</t>
        </is>
      </c>
    </row>
    <row r="42">
      <c r="A42" s="2" t="inlineStr">
        <is>
          <t>Date de la demande</t>
        </is>
      </c>
      <c r="B42" s="13" t="n">
        <v>46300</v>
      </c>
      <c r="C42" s="4" t="inlineStr">
        <is>
          <t>Format jj/mm/aaaa</t>
        </is>
      </c>
    </row>
    <row r="43">
      <c r="A43" s="2" t="inlineStr">
        <is>
          <t>Date de M.E.S. souhaitée</t>
        </is>
      </c>
      <c r="B43" s="13" t="n">
        <v>46363</v>
      </c>
      <c r="C43" s="4" t="inlineStr">
        <is>
          <t>3 jours ouvrés minimum si type existant</t>
        </is>
      </c>
    </row>
    <row r="44">
      <c r="A44" s="2" t="inlineStr">
        <is>
          <t>Nom du site (création)</t>
        </is>
      </c>
      <c r="B44" s="3" t="inlineStr">
        <is>
          <t>CH DE PITHIVIERS / PITHIVIERS (45)</t>
        </is>
      </c>
      <c r="C44" s="4" t="inlineStr">
        <is>
          <t>Ex : CH DE PITHIVIERS / PITHIVIERS (45)</t>
        </is>
      </c>
    </row>
    <row r="45">
      <c r="A45" s="2" t="inlineStr">
        <is>
          <t>Type de site</t>
        </is>
      </c>
      <c r="B45" s="3" t="inlineStr">
        <is>
          <t>LGG</t>
        </is>
      </c>
      <c r="C45" s="4" t="inlineStr">
        <is>
          <t>Ex : LGG</t>
        </is>
      </c>
    </row>
    <row r="46">
      <c r="A46" s="2" t="inlineStr">
        <is>
          <t>N° de téléphone du site</t>
        </is>
      </c>
      <c r="B46" s="3" t="inlineStr">
        <is>
          <t>8935201641422830338</t>
        </is>
      </c>
      <c r="C46" s="4" t="n"/>
    </row>
    <row r="47">
      <c r="A47" s="2" t="inlineStr">
        <is>
          <t>N° identification</t>
        </is>
      </c>
      <c r="B47" s="3" t="n"/>
      <c r="C47" s="4" t="n"/>
    </row>
    <row r="48">
      <c r="A48" s="2" t="inlineStr">
        <is>
          <t>N° esclave</t>
        </is>
      </c>
      <c r="B48" s="3" t="n"/>
      <c r="C48" s="4" t="n"/>
    </row>
    <row r="49">
      <c r="A49" s="2" t="inlineStr">
        <is>
          <t>N° astreinte</t>
        </is>
      </c>
      <c r="B49" s="3" t="inlineStr">
        <is>
          <t>02 38 32 31 31. Standart</t>
        </is>
      </c>
      <c r="C49" s="4" t="n"/>
    </row>
    <row r="50">
      <c r="A50" s="2" t="inlineStr">
        <is>
          <t>Source principale</t>
        </is>
      </c>
      <c r="B50" s="3" t="inlineStr">
        <is>
          <t>3000L</t>
        </is>
      </c>
      <c r="C50" s="4" t="inlineStr">
        <is>
          <t>Ex : 3000L</t>
        </is>
      </c>
    </row>
    <row r="51">
      <c r="A51" s="2" t="inlineStr">
        <is>
          <t>Source attente</t>
        </is>
      </c>
      <c r="B51" s="3" t="inlineStr">
        <is>
          <t>2XCV18</t>
        </is>
      </c>
      <c r="C51" s="4" t="inlineStr">
        <is>
          <t>Ex : 2XCV18</t>
        </is>
      </c>
    </row>
    <row r="52">
      <c r="A52" s="2" t="inlineStr">
        <is>
          <t>Source secours</t>
        </is>
      </c>
      <c r="B52" s="3" t="inlineStr">
        <is>
          <t>3B50</t>
        </is>
      </c>
      <c r="C52" s="4" t="inlineStr">
        <is>
          <t>Ex : 3B50</t>
        </is>
      </c>
    </row>
    <row r="53">
      <c r="A53" s="2" t="inlineStr">
        <is>
          <t>Commercial responsable</t>
        </is>
      </c>
      <c r="B53" s="3" t="inlineStr">
        <is>
          <t>A.DUMANOIR</t>
        </is>
      </c>
      <c r="C53" s="4" t="n"/>
    </row>
    <row r="55">
      <c r="A55" s="9" t="inlineStr">
        <is>
          <t>DEMANDE EGYDE – CONTACT CLIENT 1  (laisser vide si pas de contact 1)</t>
        </is>
      </c>
    </row>
    <row r="56">
      <c r="A56" s="2" t="inlineStr">
        <is>
          <t>Nom</t>
        </is>
      </c>
      <c r="B56" s="3" t="inlineStr">
        <is>
          <t>POISSON</t>
        </is>
      </c>
      <c r="C56" s="4" t="n"/>
    </row>
    <row r="57">
      <c r="A57" s="2" t="inlineStr">
        <is>
          <t>Prénom</t>
        </is>
      </c>
      <c r="B57" s="3" t="inlineStr">
        <is>
          <t>Carole</t>
        </is>
      </c>
      <c r="C57" s="4" t="n"/>
    </row>
    <row r="58">
      <c r="A58" s="2" t="inlineStr">
        <is>
          <t>Adresse mail</t>
        </is>
      </c>
      <c r="B58" s="3" t="inlineStr">
        <is>
          <t>carole.poisson@ch-pithiviers.fr</t>
        </is>
      </c>
      <c r="C58" s="4" t="n"/>
    </row>
    <row r="59">
      <c r="A59" s="2" t="inlineStr">
        <is>
          <t>N° de téléphone</t>
        </is>
      </c>
      <c r="B59" s="3" t="inlineStr">
        <is>
          <t>02 38 32 33 53</t>
        </is>
      </c>
      <c r="C59" s="4" t="n"/>
    </row>
    <row r="60">
      <c r="A60" s="2" t="inlineStr">
        <is>
          <t>Service</t>
        </is>
      </c>
      <c r="B60" s="3" t="inlineStr">
        <is>
          <t>Pharmacie</t>
        </is>
      </c>
      <c r="C60" s="4" t="n"/>
    </row>
    <row r="61">
      <c r="A61" s="2" t="inlineStr">
        <is>
          <t>Identifiant</t>
        </is>
      </c>
      <c r="B61" s="3" t="n"/>
      <c r="C61" s="4" t="n"/>
    </row>
    <row r="62">
      <c r="A62" s="2" t="inlineStr">
        <is>
          <t>Mot de passe</t>
        </is>
      </c>
      <c r="B62" s="3" t="n"/>
      <c r="C62" s="4" t="n"/>
    </row>
    <row r="63">
      <c r="A63" s="2" t="inlineStr">
        <is>
          <t>Type d’accès client</t>
        </is>
      </c>
      <c r="B63" s="3" t="inlineStr">
        <is>
          <t>etendu</t>
        </is>
      </c>
      <c r="C63" s="4" t="inlineStr">
        <is>
          <t>Ex : etendu</t>
        </is>
      </c>
    </row>
    <row r="64">
      <c r="A64" s="2" t="inlineStr">
        <is>
          <t>Ajout alarme</t>
        </is>
      </c>
      <c r="B64" s="3" t="inlineStr">
        <is>
          <t>non</t>
        </is>
      </c>
      <c r="C64" s="4" t="inlineStr">
        <is>
          <t>oui / non</t>
        </is>
      </c>
    </row>
    <row r="66">
      <c r="A66" s="9" t="inlineStr">
        <is>
          <t>DEMANDE EGYDE – CONTACT CLIENT 2  (laisser vide si pas de contact 2)</t>
        </is>
      </c>
    </row>
    <row r="67">
      <c r="A67" s="2" t="inlineStr">
        <is>
          <t>Nom</t>
        </is>
      </c>
      <c r="B67" s="3" t="inlineStr">
        <is>
          <t>KAMEL</t>
        </is>
      </c>
      <c r="C67" s="4" t="n"/>
    </row>
    <row r="68">
      <c r="A68" s="2" t="inlineStr">
        <is>
          <t>Prénom</t>
        </is>
      </c>
      <c r="B68" s="3" t="inlineStr">
        <is>
          <t>Abderrahmane</t>
        </is>
      </c>
      <c r="C68" s="4" t="n"/>
    </row>
    <row r="69">
      <c r="A69" s="2" t="inlineStr">
        <is>
          <t>Adresse mail</t>
        </is>
      </c>
      <c r="B69" s="3" t="inlineStr">
        <is>
          <t>Abderrahmane.kamel@ch-pithiviers.fr</t>
        </is>
      </c>
      <c r="C69" s="4" t="n"/>
    </row>
    <row r="70">
      <c r="A70" s="2" t="inlineStr">
        <is>
          <t>N° de téléphone</t>
        </is>
      </c>
      <c r="B70" s="3" t="inlineStr">
        <is>
          <t>02 38 32 31 89 / 06 89 38 07 02</t>
        </is>
      </c>
      <c r="C70" s="4" t="n"/>
    </row>
    <row r="71">
      <c r="A71" s="2" t="inlineStr">
        <is>
          <t>Service</t>
        </is>
      </c>
      <c r="B71" s="3" t="inlineStr">
        <is>
          <t>Technique</t>
        </is>
      </c>
      <c r="C71" s="4" t="n"/>
    </row>
    <row r="72">
      <c r="A72" s="2" t="inlineStr">
        <is>
          <t>Identifiant</t>
        </is>
      </c>
      <c r="B72" s="3" t="n"/>
      <c r="C72" s="4" t="n"/>
    </row>
    <row r="73">
      <c r="A73" s="2" t="inlineStr">
        <is>
          <t>Mot de passe</t>
        </is>
      </c>
      <c r="B73" s="3" t="n"/>
      <c r="C73" s="4" t="n"/>
    </row>
    <row r="74">
      <c r="A74" s="2" t="inlineStr">
        <is>
          <t>Type d’accès client</t>
        </is>
      </c>
      <c r="B74" s="3" t="inlineStr">
        <is>
          <t>etendu</t>
        </is>
      </c>
      <c r="C74" s="4" t="inlineStr">
        <is>
          <t>Ex : etendu</t>
        </is>
      </c>
    </row>
    <row r="75">
      <c r="A75" s="2" t="inlineStr">
        <is>
          <t>Ajout alarme</t>
        </is>
      </c>
      <c r="B75" s="3" t="inlineStr">
        <is>
          <t>non</t>
        </is>
      </c>
      <c r="C75" s="4" t="inlineStr">
        <is>
          <t>oui / non</t>
        </is>
      </c>
    </row>
    <row r="77">
      <c r="A77" s="9" t="inlineStr">
        <is>
          <t>DEMANDE EGYDE – CONTACT CLIENT 3  (laisser vide si pas de contact 3)</t>
        </is>
      </c>
    </row>
    <row r="78">
      <c r="A78" s="2" t="inlineStr">
        <is>
          <t>Nom</t>
        </is>
      </c>
      <c r="B78" s="3" t="n"/>
      <c r="C78" s="4" t="n"/>
    </row>
    <row r="79">
      <c r="A79" s="2" t="inlineStr">
        <is>
          <t>Prénom</t>
        </is>
      </c>
      <c r="B79" s="3" t="n"/>
      <c r="C79" s="4" t="n"/>
    </row>
    <row r="80">
      <c r="A80" s="2" t="inlineStr">
        <is>
          <t>Adresse mail</t>
        </is>
      </c>
      <c r="B80" s="3" t="n"/>
      <c r="C80" s="4" t="n"/>
    </row>
    <row r="81">
      <c r="A81" s="2" t="inlineStr">
        <is>
          <t>N° de téléphone</t>
        </is>
      </c>
      <c r="B81" s="3" t="n"/>
      <c r="C81" s="4" t="n"/>
    </row>
    <row r="82">
      <c r="A82" s="2" t="inlineStr">
        <is>
          <t>Service</t>
        </is>
      </c>
      <c r="B82" s="3" t="n"/>
      <c r="C82" s="4" t="n"/>
    </row>
    <row r="83">
      <c r="A83" s="2" t="inlineStr">
        <is>
          <t>Identifiant</t>
        </is>
      </c>
      <c r="B83" s="3" t="n"/>
      <c r="C83" s="4" t="n"/>
    </row>
    <row r="84">
      <c r="A84" s="2" t="inlineStr">
        <is>
          <t>Mot de passe</t>
        </is>
      </c>
      <c r="B84" s="3" t="n"/>
      <c r="C84" s="4" t="n"/>
    </row>
    <row r="85">
      <c r="A85" s="2" t="inlineStr">
        <is>
          <t>Type d’accès client</t>
        </is>
      </c>
      <c r="B85" s="3" t="n"/>
      <c r="C85" s="4" t="inlineStr">
        <is>
          <t>Ex : etendu</t>
        </is>
      </c>
    </row>
    <row r="86">
      <c r="A86" s="2" t="inlineStr">
        <is>
          <t>Ajout alarme</t>
        </is>
      </c>
      <c r="B86" s="3" t="n"/>
      <c r="C86" s="4" t="inlineStr">
        <is>
          <t>oui / non</t>
        </is>
      </c>
    </row>
  </sheetData>
  <mergeCells count="9">
    <mergeCell ref="A41:C41"/>
    <mergeCell ref="A66:C66"/>
    <mergeCell ref="A1:C1"/>
    <mergeCell ref="A14:C14"/>
    <mergeCell ref="A31:C31"/>
    <mergeCell ref="A3:C3"/>
    <mergeCell ref="A21:C21"/>
    <mergeCell ref="A77:C77"/>
    <mergeCell ref="A55:C55"/>
  </mergeCells>
  <dataValidations count="3">
    <dataValidation sqref="B22:B28 B32:B38" showDropDown="0" showInputMessage="0" showErrorMessage="0" allowBlank="1" errorTitle="Typologie" error="Mets X ou laisse vide" type="list">
      <formula1>"X"</formula1>
    </dataValidation>
    <dataValidation sqref="B29 B39" showDropDown="0" showInputMessage="0" showErrorMessage="0" allowBlank="1" type="list">
      <formula1>"Oxygène médicinal,Protoxyde d’azote,Air médicinal,Autre"</formula1>
    </dataValidation>
    <dataValidation sqref="B64 B75 B86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AG2"/>
  <sheetViews>
    <sheetView tabSelected="0" workbookViewId="0">
      <selection activeCell="A1" sqref="A1"/>
    </sheetView>
  </sheetViews>
  <sheetFormatPr baseColWidth="10" defaultColWidth="9.140625" defaultRowHeight="15"/>
  <cols>
    <col width="18" customWidth="1" style="12" min="1" max="33"/>
  </cols>
  <sheetData>
    <row r="1">
      <c r="A1" s="5" t="inlineStr">
        <is>
          <t>Client</t>
        </is>
      </c>
      <c r="B1" s="5" t="inlineStr">
        <is>
          <t>Adresse</t>
        </is>
      </c>
      <c r="C1" s="5" t="inlineStr">
        <is>
          <t>CodePostal</t>
        </is>
      </c>
      <c r="D1" s="5" t="inlineStr">
        <is>
          <t>Ville</t>
        </is>
      </c>
      <c r="E1" s="5" t="inlineStr">
        <is>
          <t>CodePostalVille</t>
        </is>
      </c>
      <c r="F1" s="5" t="inlineStr">
        <is>
          <t>Contact</t>
        </is>
      </c>
      <c r="G1" s="5" t="inlineStr">
        <is>
          <t>Telephone</t>
        </is>
      </c>
      <c r="H1" s="5" t="inlineStr">
        <is>
          <t>Email</t>
        </is>
      </c>
      <c r="I1" s="5" t="inlineStr">
        <is>
          <t>NumOrdre</t>
        </is>
      </c>
      <c r="J1" s="5" t="inlineStr">
        <is>
          <t>ChargeAffaires</t>
        </is>
      </c>
      <c r="K1" s="5" t="inlineStr">
        <is>
          <t>Source1</t>
        </is>
      </c>
      <c r="L1" s="5" t="inlineStr">
        <is>
          <t>Source2</t>
        </is>
      </c>
      <c r="M1" s="5" t="inlineStr">
        <is>
          <t>Source3</t>
        </is>
      </c>
      <c r="N1" s="5" t="inlineStr">
        <is>
          <t>SourceRampeGauche</t>
        </is>
      </c>
      <c r="O1" s="5" t="inlineStr">
        <is>
          <t>SourceRampeSecours</t>
        </is>
      </c>
      <c r="P1" s="5" t="inlineStr">
        <is>
          <t>T_LIQLIQLIQ</t>
        </is>
      </c>
      <c r="Q1" s="5" t="inlineStr">
        <is>
          <t>T_LIQLIQGAZ</t>
        </is>
      </c>
      <c r="R1" s="5" t="inlineStr">
        <is>
          <t>T_LIQGAZGAZ</t>
        </is>
      </c>
      <c r="S1" s="5" t="inlineStr">
        <is>
          <t>T_GAZGAZGAZ</t>
        </is>
      </c>
      <c r="T1" s="5" t="inlineStr">
        <is>
          <t>T_MESSAIR</t>
        </is>
      </c>
      <c r="U1" s="5" t="inlineStr">
        <is>
          <t>T_MESSVAC</t>
        </is>
      </c>
      <c r="V1" s="5" t="inlineStr">
        <is>
          <t>T_AUTRE</t>
        </is>
      </c>
      <c r="W1" s="5" t="inlineStr">
        <is>
          <t>T_Fluide</t>
        </is>
      </c>
      <c r="X1" s="5" t="inlineStr">
        <is>
          <t>T_FLUIDEX</t>
        </is>
      </c>
      <c r="Y1" s="5" t="inlineStr">
        <is>
          <t>P_LIQLIQLIQ</t>
        </is>
      </c>
      <c r="Z1" s="5" t="inlineStr">
        <is>
          <t>P_LIQLIQGAZ</t>
        </is>
      </c>
      <c r="AA1" s="5" t="inlineStr">
        <is>
          <t>P_LIQGAZGAZ</t>
        </is>
      </c>
      <c r="AB1" s="5" t="inlineStr">
        <is>
          <t>P_GAZGAZGAZ</t>
        </is>
      </c>
      <c r="AC1" s="5" t="inlineStr">
        <is>
          <t>P_MESSAIR</t>
        </is>
      </c>
      <c r="AD1" s="5" t="inlineStr">
        <is>
          <t>P_MESSVAC</t>
        </is>
      </c>
      <c r="AE1" s="5" t="inlineStr">
        <is>
          <t>P_AUTRE</t>
        </is>
      </c>
      <c r="AF1" s="5" t="inlineStr">
        <is>
          <t>P_Fluide</t>
        </is>
      </c>
      <c r="AG1" s="5" t="inlineStr">
        <is>
          <t>P_FLUIDEX</t>
        </is>
      </c>
    </row>
    <row r="2">
      <c r="A2">
        <f>Saisie!$B$4&amp;""</f>
        <v/>
      </c>
      <c r="B2">
        <f>Saisie!$B$5&amp;""</f>
        <v/>
      </c>
      <c r="C2">
        <f>Saisie!$B$6&amp;""</f>
        <v/>
      </c>
      <c r="D2">
        <f>Saisie!$B$7&amp;""</f>
        <v/>
      </c>
      <c r="E2">
        <f>TRIM(Saisie!$B$6&amp;" "&amp;Saisie!$B$7)</f>
        <v/>
      </c>
      <c r="F2">
        <f>Saisie!$B$8&amp;""</f>
        <v/>
      </c>
      <c r="G2">
        <f>Saisie!$B$9&amp;""</f>
        <v/>
      </c>
      <c r="H2">
        <f>Saisie!$B$10&amp;""</f>
        <v/>
      </c>
      <c r="I2">
        <f>Saisie!$B$11&amp;""</f>
        <v/>
      </c>
      <c r="J2">
        <f>Saisie!$B$12&amp;""</f>
        <v/>
      </c>
      <c r="K2">
        <f>Saisie!$B$15&amp;""</f>
        <v/>
      </c>
      <c r="L2">
        <f>Saisie!$B$16&amp;""</f>
        <v/>
      </c>
      <c r="M2">
        <f>Saisie!$B$17&amp;""</f>
        <v/>
      </c>
      <c r="N2">
        <f>Saisie!$B$18&amp;""</f>
        <v/>
      </c>
      <c r="O2">
        <f>Saisie!$B$19&amp;""</f>
        <v/>
      </c>
      <c r="P2">
        <f>Saisie!$B$22&amp;""</f>
        <v/>
      </c>
      <c r="Q2">
        <f>Saisie!$B$23&amp;""</f>
        <v/>
      </c>
      <c r="R2">
        <f>Saisie!$B$24&amp;""</f>
        <v/>
      </c>
      <c r="S2">
        <f>Saisie!$B$25&amp;""</f>
        <v/>
      </c>
      <c r="T2">
        <f>Saisie!$B$26&amp;""</f>
        <v/>
      </c>
      <c r="U2">
        <f>Saisie!$B$27&amp;""</f>
        <v/>
      </c>
      <c r="V2">
        <f>Saisie!$B$28&amp;""</f>
        <v/>
      </c>
      <c r="W2">
        <f>Saisie!$B$29&amp;""</f>
        <v/>
      </c>
      <c r="X2">
        <f>IF(Saisie!$B$29="","","X")</f>
        <v/>
      </c>
      <c r="Y2">
        <f>Saisie!$B$32&amp;""</f>
        <v/>
      </c>
      <c r="Z2">
        <f>Saisie!$B$33&amp;""</f>
        <v/>
      </c>
      <c r="AA2">
        <f>Saisie!$B$34&amp;""</f>
        <v/>
      </c>
      <c r="AB2">
        <f>Saisie!$B$35&amp;""</f>
        <v/>
      </c>
      <c r="AC2">
        <f>Saisie!$B$36&amp;""</f>
        <v/>
      </c>
      <c r="AD2">
        <f>Saisie!$B$37&amp;""</f>
        <v/>
      </c>
      <c r="AE2">
        <f>Saisie!$B$38&amp;""</f>
        <v/>
      </c>
      <c r="AF2">
        <f>Saisie!$B$39&amp;""</f>
        <v/>
      </c>
      <c r="AG2">
        <f>IF(Saisie!$B$39="","","X")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44"/>
  <sheetViews>
    <sheetView tabSelected="1" workbookViewId="0">
      <selection activeCell="A1" sqref="A1"/>
    </sheetView>
  </sheetViews>
  <sheetFormatPr baseColWidth="8" defaultRowHeight="15"/>
  <cols>
    <col width="21.453125" customWidth="1" style="12" min="1" max="1"/>
    <col width="7.6328125" customWidth="1" style="12" min="2" max="2"/>
    <col width="1.90625" customWidth="1" style="12" min="3" max="3"/>
    <col width="10.6328125" customWidth="1" style="12" min="4" max="4"/>
    <col width="19.90625" customWidth="1" style="12" min="5" max="5"/>
    <col width="23.6328125" customWidth="1" style="12" min="6" max="6"/>
    <col width="14.08984375" customWidth="1" style="12" min="7" max="7"/>
  </cols>
  <sheetData>
    <row r="1" ht="72.75" customHeight="1" s="12"/>
    <row r="2">
      <c r="A2" t="inlineStr">
        <is>
          <t>Nom du Site client :</t>
        </is>
      </c>
      <c r="B2" s="14">
        <f>IF(Saisie!$B$4="","",Saisie!$B$4)</f>
        <v/>
      </c>
      <c r="F2" t="inlineStr">
        <is>
          <t>Date de la demande :</t>
        </is>
      </c>
      <c r="G2" s="15">
        <f>IF(Saisie!$B$42="","",Saisie!$B$42)</f>
        <v/>
      </c>
    </row>
    <row r="3">
      <c r="A3" t="inlineStr">
        <is>
          <t>Adresse</t>
        </is>
      </c>
      <c r="B3" s="16">
        <f>IF(Saisie!$B$5="","",Saisie!$B$5)</f>
        <v/>
      </c>
      <c r="C3" s="16" t="n"/>
      <c r="D3" s="16" t="n"/>
      <c r="E3" s="16" t="n"/>
      <c r="F3" t="inlineStr">
        <is>
          <t>Date de M.E.S. souhaitée :</t>
        </is>
      </c>
      <c r="G3" s="15">
        <f>IF(Saisie!$B$43="","",Saisie!$B$43)</f>
        <v/>
      </c>
    </row>
    <row r="4" ht="12" customHeight="1" s="12">
      <c r="B4" s="17" t="n"/>
      <c r="C4" s="17" t="n"/>
      <c r="D4" s="17" t="n"/>
      <c r="E4" s="17" t="n"/>
      <c r="F4" s="18" t="inlineStr">
        <is>
          <t>(3 jours ouvrés minimum si type existant)</t>
        </is>
      </c>
    </row>
    <row r="5">
      <c r="A5" s="19" t="inlineStr">
        <is>
          <t>cp</t>
        </is>
      </c>
      <c r="B5" s="16">
        <f>IF(Saisie!$B$6="","",Saisie!$B$6)</f>
        <v/>
      </c>
      <c r="C5" s="17" t="n"/>
      <c r="D5" s="17" t="n"/>
      <c r="E5" s="17" t="n"/>
      <c r="F5" s="18" t="n"/>
    </row>
    <row r="6">
      <c r="A6" t="inlineStr">
        <is>
          <t>ville</t>
        </is>
      </c>
      <c r="B6" s="20">
        <f>IF(Saisie!$B$7="","",Saisie!$B$7)</f>
        <v/>
      </c>
      <c r="C6" s="16" t="n"/>
      <c r="D6" s="16" t="n"/>
      <c r="E6" s="16" t="n"/>
    </row>
    <row r="7">
      <c r="A7" s="21" t="inlineStr">
        <is>
          <t>Création (à remplir seulement pour la demande d'intégation d'un nouveau Site)</t>
        </is>
      </c>
      <c r="B7" s="21" t="n"/>
      <c r="C7" s="21" t="n"/>
      <c r="D7" s="21" t="n"/>
      <c r="E7" s="21" t="n"/>
      <c r="F7" s="21" t="n"/>
      <c r="G7" s="21" t="n"/>
    </row>
    <row r="8">
      <c r="A8" t="inlineStr">
        <is>
          <t>Nom du Site :</t>
        </is>
      </c>
      <c r="B8" s="22">
        <f>IF(Saisie!$B$44="","",Saisie!$B$44)</f>
        <v/>
      </c>
    </row>
    <row r="9">
      <c r="A9" t="inlineStr">
        <is>
          <t>Type de Site :</t>
        </is>
      </c>
      <c r="B9" s="14">
        <f>IF(Saisie!$B$45="","",Saisie!$B$45)</f>
        <v/>
      </c>
      <c r="F9" t="inlineStr">
        <is>
          <t xml:space="preserve">SOURCE PRINCIPALE </t>
        </is>
      </c>
      <c r="G9" s="16">
        <f>IF(Saisie!$B$50="","",Saisie!$B$50)</f>
        <v/>
      </c>
    </row>
    <row r="10">
      <c r="A10" t="inlineStr">
        <is>
          <t>N° De Téléphone :</t>
        </is>
      </c>
      <c r="B10" s="14">
        <f>IF(Saisie!$B$46="","",Saisie!$B$46)</f>
        <v/>
      </c>
      <c r="F10" t="inlineStr">
        <is>
          <t>SOURCE ATTENTE</t>
        </is>
      </c>
      <c r="G10" s="16">
        <f>IF(Saisie!$B$51="","",Saisie!$B$51)</f>
        <v/>
      </c>
    </row>
    <row r="11">
      <c r="A11" t="inlineStr">
        <is>
          <t>N° Identification :</t>
        </is>
      </c>
      <c r="B11" s="22">
        <f>IF(Saisie!$B$47="","",Saisie!$B$47)</f>
        <v/>
      </c>
      <c r="F11" t="inlineStr">
        <is>
          <t>SOURCE SECOURS</t>
        </is>
      </c>
      <c r="G11" s="16">
        <f>IF(Saisie!$B$52="","",Saisie!$B$52)</f>
        <v/>
      </c>
    </row>
    <row r="12">
      <c r="A12" t="inlineStr">
        <is>
          <t xml:space="preserve">N° Esclave : </t>
        </is>
      </c>
      <c r="B12" s="23">
        <f>IF(Saisie!$B$48="","",Saisie!$B$48)</f>
        <v/>
      </c>
      <c r="C12" s="24" t="n"/>
      <c r="D12" s="23" t="n"/>
      <c r="F12" t="inlineStr">
        <is>
          <t>Commercial responsable</t>
        </is>
      </c>
      <c r="G12" s="16">
        <f>IF(Saisie!$B$53="","",Saisie!$B$53)</f>
        <v/>
      </c>
    </row>
    <row r="13">
      <c r="A13" t="inlineStr">
        <is>
          <t>N° ASTREINTE</t>
        </is>
      </c>
      <c r="B13" s="14">
        <f>IF(Saisie!$B$49="","",Saisie!$B$49)</f>
        <v/>
      </c>
    </row>
    <row r="14"/>
    <row r="15">
      <c r="A15" s="21" t="inlineStr">
        <is>
          <t>Contact Client (à remplir à la création ou pour ajout nouvel utilisateur)</t>
        </is>
      </c>
      <c r="B15" s="21" t="n"/>
      <c r="C15" s="21" t="n"/>
      <c r="D15" s="21" t="n"/>
      <c r="E15" s="21" t="n"/>
      <c r="F15" s="21" t="n"/>
      <c r="G15" s="21" t="n"/>
    </row>
    <row r="16">
      <c r="A16" t="inlineStr">
        <is>
          <t>Nom :</t>
        </is>
      </c>
      <c r="B16" s="14">
        <f>IF(Saisie!$B$56="","",Saisie!$B$56)</f>
        <v/>
      </c>
    </row>
    <row r="17">
      <c r="A17" t="inlineStr">
        <is>
          <t>Prénom :</t>
        </is>
      </c>
      <c r="B17" s="14">
        <f>IF(Saisie!$B$57="","",Saisie!$B$57)</f>
        <v/>
      </c>
    </row>
    <row r="18">
      <c r="A18" t="inlineStr">
        <is>
          <t>Adresse Mail :</t>
        </is>
      </c>
      <c r="B18" s="25">
        <f>IF(Saisie!$B$58="","",Saisie!$B$58)</f>
        <v/>
      </c>
    </row>
    <row r="19">
      <c r="A19" t="inlineStr">
        <is>
          <t>N° De Téléphone :</t>
        </is>
      </c>
      <c r="B19" s="14">
        <f>IF(Saisie!$B$59="","",Saisie!$B$59)</f>
        <v/>
      </c>
    </row>
    <row r="20">
      <c r="A20" t="inlineStr">
        <is>
          <t xml:space="preserve">Service : </t>
        </is>
      </c>
      <c r="B20" s="14">
        <f>IF(Saisie!$B$60="","",Saisie!$B$60)</f>
        <v/>
      </c>
      <c r="C20" s="14" t="n"/>
      <c r="D20" s="14" t="n"/>
      <c r="E20" s="14" t="n"/>
    </row>
    <row r="21">
      <c r="A21" t="inlineStr">
        <is>
          <t>Identifiant :</t>
        </is>
      </c>
      <c r="B21" s="22">
        <f>IF(Saisie!$B$61="","",Saisie!$B$61)</f>
        <v/>
      </c>
    </row>
    <row r="22">
      <c r="A22" t="inlineStr">
        <is>
          <t>Mot de Passe :</t>
        </is>
      </c>
      <c r="B22" s="22">
        <f>IF(Saisie!$B$62="","",Saisie!$B$62)</f>
        <v/>
      </c>
    </row>
    <row r="23">
      <c r="A23" t="inlineStr">
        <is>
          <t>Type d'accès Client :</t>
        </is>
      </c>
      <c r="B23" s="22">
        <f>IF(Saisie!$B$63="","",Saisie!$B$63)</f>
        <v/>
      </c>
    </row>
    <row r="24">
      <c r="A24" t="inlineStr">
        <is>
          <t>ajout alarme</t>
        </is>
      </c>
      <c r="B24" s="22">
        <f>IF(Saisie!$B$64="","",Saisie!$B$64)</f>
        <v/>
      </c>
      <c r="C24" s="22" t="n"/>
      <c r="D24" s="22" t="n"/>
      <c r="E24" s="22" t="n"/>
    </row>
    <row r="25">
      <c r="B25" s="22" t="n"/>
    </row>
    <row r="26">
      <c r="A26" t="inlineStr">
        <is>
          <t>Nom :</t>
        </is>
      </c>
      <c r="B26" s="14">
        <f>IF(Saisie!$B$67="","",Saisie!$B$67)</f>
        <v/>
      </c>
    </row>
    <row r="27" ht="15" customHeight="1" s="12">
      <c r="A27" t="inlineStr">
        <is>
          <t>Prénom :</t>
        </is>
      </c>
      <c r="B27" s="14">
        <f>IF(Saisie!$B$68="","",Saisie!$B$68)</f>
        <v/>
      </c>
    </row>
    <row r="28">
      <c r="A28" t="inlineStr">
        <is>
          <t>Adresse Mail :</t>
        </is>
      </c>
      <c r="B28" s="25">
        <f>IF(Saisie!$B$69="","",Saisie!$B$69)</f>
        <v/>
      </c>
    </row>
    <row r="29">
      <c r="A29" t="inlineStr">
        <is>
          <t>N° De Téléphone :</t>
        </is>
      </c>
      <c r="B29" s="14">
        <f>IF(Saisie!$B$70="","",Saisie!$B$70)</f>
        <v/>
      </c>
    </row>
    <row r="30">
      <c r="A30" t="inlineStr">
        <is>
          <t xml:space="preserve">Service : </t>
        </is>
      </c>
      <c r="B30" s="14">
        <f>IF(Saisie!$B$71="","",Saisie!$B$71)</f>
        <v/>
      </c>
      <c r="C30" s="14" t="n"/>
      <c r="D30" s="14" t="n"/>
      <c r="E30" s="14" t="n"/>
    </row>
    <row r="31">
      <c r="A31" t="inlineStr">
        <is>
          <t>Identifiant :</t>
        </is>
      </c>
      <c r="B31" s="26">
        <f>IF(Saisie!$B$72="","",Saisie!$B$72)</f>
        <v/>
      </c>
    </row>
    <row r="32">
      <c r="A32" t="inlineStr">
        <is>
          <t>Mot de Passe :</t>
        </is>
      </c>
      <c r="B32" s="22">
        <f>IF(Saisie!$B$73="","",Saisie!$B$73)</f>
        <v/>
      </c>
    </row>
    <row r="33">
      <c r="A33" t="inlineStr">
        <is>
          <t>Type d'accès Client :</t>
        </is>
      </c>
      <c r="B33" s="22">
        <f>IF(Saisie!$B$74="","",Saisie!$B$74)</f>
        <v/>
      </c>
    </row>
    <row r="34">
      <c r="A34" t="inlineStr">
        <is>
          <t>ajout alarme</t>
        </is>
      </c>
      <c r="B34" s="22">
        <f>IF(Saisie!$B$75="","",Saisie!$B$75)</f>
        <v/>
      </c>
      <c r="C34" s="22" t="n"/>
      <c r="D34" s="22" t="n"/>
      <c r="E34" s="22" t="n"/>
    </row>
    <row r="35">
      <c r="B35" s="22" t="n"/>
      <c r="C35" s="22" t="n"/>
      <c r="D35" s="22" t="n"/>
      <c r="E35" s="22" t="n"/>
    </row>
    <row r="36">
      <c r="A36" t="inlineStr">
        <is>
          <t>Nom :</t>
        </is>
      </c>
      <c r="B36" s="14">
        <f>IF(Saisie!$B$78="","",Saisie!$B$78)</f>
        <v/>
      </c>
    </row>
    <row r="37">
      <c r="A37" t="inlineStr">
        <is>
          <t>Prénom :</t>
        </is>
      </c>
      <c r="B37" s="14">
        <f>IF(Saisie!$B$79="","",Saisie!$B$79)</f>
        <v/>
      </c>
    </row>
    <row r="38">
      <c r="A38" t="inlineStr">
        <is>
          <t>Adresse Mail :</t>
        </is>
      </c>
      <c r="B38" s="25">
        <f>IF(Saisie!$B$80="","",Saisie!$B$80)</f>
        <v/>
      </c>
    </row>
    <row r="39">
      <c r="A39" t="inlineStr">
        <is>
          <t>N° De Téléphone :</t>
        </is>
      </c>
      <c r="B39" s="14">
        <f>IF(Saisie!$B$81="","",Saisie!$B$81)</f>
        <v/>
      </c>
    </row>
    <row r="40">
      <c r="A40" t="inlineStr">
        <is>
          <t xml:space="preserve">Service : </t>
        </is>
      </c>
      <c r="B40" s="14">
        <f>IF(Saisie!$B$82="","",Saisie!$B$82)</f>
        <v/>
      </c>
      <c r="C40" s="14" t="n"/>
      <c r="D40" s="14" t="n"/>
      <c r="E40" s="14" t="n"/>
    </row>
    <row r="41">
      <c r="A41" t="inlineStr">
        <is>
          <t>Identifiant :</t>
        </is>
      </c>
      <c r="B41" s="22">
        <f>IF(Saisie!$B$83="","",Saisie!$B$83)</f>
        <v/>
      </c>
    </row>
    <row r="42">
      <c r="A42" t="inlineStr">
        <is>
          <t>Mot de Passe :</t>
        </is>
      </c>
      <c r="B42" s="22">
        <f>IF(Saisie!$B$84="","",Saisie!$B$84)</f>
        <v/>
      </c>
    </row>
    <row r="43">
      <c r="A43" t="inlineStr">
        <is>
          <t>Type d'accès Client :</t>
        </is>
      </c>
      <c r="B43" s="22">
        <f>IF(Saisie!$B$85="","",Saisie!$B$85)</f>
        <v/>
      </c>
    </row>
    <row r="44">
      <c r="A44" t="inlineStr">
        <is>
          <t>ajout alarme</t>
        </is>
      </c>
      <c r="B44" s="22">
        <f>IF(Saisie!$B$86="","",Saisie!$B$86)</f>
        <v/>
      </c>
    </row>
  </sheetData>
  <mergeCells count="30">
    <mergeCell ref="B9:E9"/>
    <mergeCell ref="B33:E33"/>
    <mergeCell ref="B36:E36"/>
    <mergeCell ref="B32:E32"/>
    <mergeCell ref="B26:E26"/>
    <mergeCell ref="B41:E41"/>
    <mergeCell ref="B16:E16"/>
    <mergeCell ref="B25:E25"/>
    <mergeCell ref="B22:E22"/>
    <mergeCell ref="B31:E31"/>
    <mergeCell ref="B18:E18"/>
    <mergeCell ref="B27:E27"/>
    <mergeCell ref="B43:E43"/>
    <mergeCell ref="B21:E21"/>
    <mergeCell ref="B39:E39"/>
    <mergeCell ref="B11:E11"/>
    <mergeCell ref="B2:E2"/>
    <mergeCell ref="B42:E42"/>
    <mergeCell ref="B14:E14"/>
    <mergeCell ref="B17:E17"/>
    <mergeCell ref="B23:E23"/>
    <mergeCell ref="B8:E8"/>
    <mergeCell ref="B13:E13"/>
    <mergeCell ref="B44:E44"/>
    <mergeCell ref="B38:E38"/>
    <mergeCell ref="B29:E29"/>
    <mergeCell ref="B19:E19"/>
    <mergeCell ref="B37:E37"/>
    <mergeCell ref="B10:E10"/>
    <mergeCell ref="B28:E28"/>
  </mergeCells>
  <pageMargins left="0.41" right="0.4" top="0.58" bottom="0.75" header="0.3" footer="0.3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tabSelected="0" workbookViewId="0">
      <selection activeCell="A12" sqref="A12"/>
    </sheetView>
  </sheetViews>
  <sheetFormatPr baseColWidth="10" defaultColWidth="9.140625" defaultRowHeight="15"/>
  <cols>
    <col width="120" customWidth="1" style="12" min="1" max="1"/>
  </cols>
  <sheetData>
    <row r="1" ht="15.75" customHeight="1" s="12">
      <c r="A1" s="6" t="inlineStr">
        <is>
          <t>Comment utiliser ce fichier</t>
        </is>
      </c>
    </row>
    <row r="2">
      <c r="A2" s="7" t="inlineStr">
        <is>
          <t>1. Onglet « Saisie » : c’est le SEUL onglet à remplir. Une ligne = un champ, tu tapes la valeur dans la colonne B (cases jaunes).</t>
        </is>
      </c>
    </row>
    <row r="3">
      <c r="A3" s="7" t="inlineStr">
        <is>
          <t>2. Typologie : mets X (liste déroulante) en face de la ou des cases à cocher, laisse vide sinon. Choisis le fluide dans la liste.</t>
        </is>
      </c>
    </row>
    <row r="4">
      <c r="A4" s="7" t="inlineStr">
        <is>
          <t>3. La section « PROVISOIRE » est indépendante : elle ne sert qu’au certificat de réception PROVISOIRE.</t>
        </is>
      </c>
    </row>
    <row r="5">
      <c r="A5" s="7" t="inlineStr">
        <is>
          <t xml:space="preserve">   La section « INSTALLATION FINALE » sert au certificat tests alarmes et au certificat de réception pharmaceutique.</t>
        </is>
      </c>
    </row>
    <row r="6">
      <c r="A6" s="7" t="inlineStr">
        <is>
          <t>4. Onglet « Fiches clients » : technique, se calcule tout seul. NE PAS MODIFIER. C’est lui que Word lit.</t>
        </is>
      </c>
    </row>
    <row r="7">
      <c r="A7" s="7" t="inlineStr">
        <is>
          <t>5. Enregistre et ferme Excel avant de lancer la fusion dans Word.</t>
        </is>
      </c>
    </row>
    <row r="8">
      <c r="A8" s="7" t="inlineStr">
        <is>
          <t>6. Demande EGYDE : remplis la section « DEMANDE EGYDE » en bas de Saisie, l’onglet « Demande EGYDE » se remplit tout seul (nom du site client, adresse, CP et ville repris des INFOS CLIENT). Imprime ou envoie cet onglet.</t>
        </is>
      </c>
    </row>
    <row r="9" ht="15.75" customHeight="1" s="12">
      <c r="A9" s="7" t="n"/>
    </row>
    <row r="10">
      <c r="A10" s="6" t="inlineStr">
        <is>
          <t>Dans Word (à faire une fois par modèle)</t>
        </is>
      </c>
    </row>
    <row r="11">
      <c r="A11" s="7" t="inlineStr">
        <is>
          <t>Publipostage &gt; Sélection des destinataires &gt; Utiliser une liste existante &gt; ce fichier &gt; onglet « Fiches clients$ ».</t>
        </is>
      </c>
    </row>
    <row r="12">
      <c r="A12" s="7" t="inlineStr">
        <is>
          <t>Puis « Aperçu des résultats » pour vérifier, et « Terminer et fusionner » &gt; « Modifier des documents individuels » &gt; « Tous ».</t>
        </is>
      </c>
    </row>
    <row r="13">
      <c r="A13" s="7" t="n"/>
    </row>
    <row r="14">
      <c r="A14" s="7" t="inlineStr">
        <is>
          <t>Nouveau chantier : écrase les valeurs de la colonne B de « Saisie », enregistre, puis refais la fusion.</t>
        </is>
      </c>
    </row>
    <row r="16">
      <c r="A16" s="8" t="inlineStr">
        <is>
          <t>Étapes 1 à 3 : dans Word, onglet Publipostage</t>
        </is>
      </c>
    </row>
    <row r="31">
      <c r="A31" s="8" t="inlineStr">
        <is>
          <t>Étapes 4 et 5 : choisir Fiches_clients.xlsx, puis la ligne 'Fiches clients$' et OK</t>
        </is>
      </c>
    </row>
    <row r="53">
      <c r="A53" s="8" t="inlineStr">
        <is>
          <t>Étapes 6 à 8 : Aperçu des résultats pour vérifier, puis Terminer &amp; fusionner &gt; Modifier des documents individuels &gt; Tous &gt; OK</t>
        </is>
      </c>
    </row>
  </sheetData>
  <pageMargins left="0.75" right="0.75" top="1" bottom="1" header="0.5" footer="0.5"/>
  <pageSetup orientation="portrait" paperSize="9" horizontalDpi="300" verticalDpi="300" copies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2026-09-23T16:01:40Z</dcterms:created>
  <dcterms:modified xmlns:dcterms="http://purl.org/dc/terms/" xmlns:xsi="http://www.w3.org/2001/XMLSchema-instance" xsi:type="dcterms:W3CDTF">2026-10-05T12:46:01Z</dcterms:modified>
  <cp:lastModifiedBy>Louay Boubaya</cp:lastModifiedBy>
</cp:coreProperties>
</file>